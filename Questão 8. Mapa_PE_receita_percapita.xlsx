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FB93D21D-E45D-4E69-96E4-CA30535BB1F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apa PE 2025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5" i="1" l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3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94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53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12" i="1"/>
</calcChain>
</file>

<file path=xl/sharedStrings.xml><?xml version="1.0" encoding="utf-8"?>
<sst xmlns="http://schemas.openxmlformats.org/spreadsheetml/2006/main" count="349" uniqueCount="190">
  <si>
    <t>MAPA TEMÁTICO — RECEITA BRUTA PER CAPITA · PERNAMBUCO · 2025</t>
  </si>
  <si>
    <t>Fonte: SICONFI/STN — Receitas Brutas Realizadas 2025 · Elaboração própria</t>
  </si>
  <si>
    <t>ESTATÍSTICAS RESUMO</t>
  </si>
  <si>
    <t>Municípios mapeados</t>
  </si>
  <si>
    <t>Média per capita</t>
  </si>
  <si>
    <t>R$ 6,730.65</t>
  </si>
  <si>
    <t>Mediana per capita</t>
  </si>
  <si>
    <t>R$ 6,380.89</t>
  </si>
  <si>
    <t>Máximo</t>
  </si>
  <si>
    <t>Ipojuca — R$ 21,142.72</t>
  </si>
  <si>
    <t>Mínimo</t>
  </si>
  <si>
    <t>Paulista — R$ 2,774.22</t>
  </si>
  <si>
    <t>Ranking</t>
  </si>
  <si>
    <t>Cod.IBGE</t>
  </si>
  <si>
    <t>Município</t>
  </si>
  <si>
    <t>População</t>
  </si>
  <si>
    <t>Receita Total (R$)</t>
  </si>
  <si>
    <t>Rec. per Capita (R$)</t>
  </si>
  <si>
    <t>Latitude</t>
  </si>
  <si>
    <t>Longitude</t>
  </si>
  <si>
    <t>Faixa</t>
  </si>
  <si>
    <t>Ipojuca</t>
  </si>
  <si>
    <t>Alta (&gt;75%)</t>
  </si>
  <si>
    <t>Itacuruba</t>
  </si>
  <si>
    <t>Salgadinho</t>
  </si>
  <si>
    <t>Calumbi</t>
  </si>
  <si>
    <t>Solidão</t>
  </si>
  <si>
    <t>Quixaba</t>
  </si>
  <si>
    <t>Goiana</t>
  </si>
  <si>
    <t>Vertente do Lério</t>
  </si>
  <si>
    <t>Machados</t>
  </si>
  <si>
    <t>Brejão</t>
  </si>
  <si>
    <t>Brejinho</t>
  </si>
  <si>
    <t>Granito</t>
  </si>
  <si>
    <t>Terezinha</t>
  </si>
  <si>
    <t>Jupi</t>
  </si>
  <si>
    <t>Camutanga</t>
  </si>
  <si>
    <t>Lagoa do Ouro</t>
  </si>
  <si>
    <t>Betânia</t>
  </si>
  <si>
    <t>Palmeirina</t>
  </si>
  <si>
    <t>Xexéu</t>
  </si>
  <si>
    <t>Jurema</t>
  </si>
  <si>
    <t>Cortês</t>
  </si>
  <si>
    <t>Santa Cruz</t>
  </si>
  <si>
    <t>Tuparetama</t>
  </si>
  <si>
    <t>Ibirajuba</t>
  </si>
  <si>
    <t>Belém de Maria</t>
  </si>
  <si>
    <t>Maraial</t>
  </si>
  <si>
    <t>Angelim</t>
  </si>
  <si>
    <t>Saloá</t>
  </si>
  <si>
    <t>Terra Nova</t>
  </si>
  <si>
    <t>Panelas</t>
  </si>
  <si>
    <t>Poção</t>
  </si>
  <si>
    <t>Afrânio</t>
  </si>
  <si>
    <t>Frei Miguelinho</t>
  </si>
  <si>
    <t>Orocó</t>
  </si>
  <si>
    <t>Carnaíba</t>
  </si>
  <si>
    <t>Cumaru</t>
  </si>
  <si>
    <t>Capoeiras</t>
  </si>
  <si>
    <t>Jataúba</t>
  </si>
  <si>
    <t>Santa Terezinha</t>
  </si>
  <si>
    <t>Tamandaré</t>
  </si>
  <si>
    <t>Cabo de Santo Agostinho</t>
  </si>
  <si>
    <t>Lagoa dos Gatos</t>
  </si>
  <si>
    <t>Média-alta (50–75%)</t>
  </si>
  <si>
    <t>Paranatama</t>
  </si>
  <si>
    <t>São Vicente Ferrer</t>
  </si>
  <si>
    <t>Orobó</t>
  </si>
  <si>
    <t>Mirandiba</t>
  </si>
  <si>
    <t>Gameleira</t>
  </si>
  <si>
    <t>Chã de Alegria</t>
  </si>
  <si>
    <t>Iguaracy</t>
  </si>
  <si>
    <t>Triunfo</t>
  </si>
  <si>
    <t>Verdejante</t>
  </si>
  <si>
    <t>Sanharó</t>
  </si>
  <si>
    <t>Serrita</t>
  </si>
  <si>
    <t>Moreilândia</t>
  </si>
  <si>
    <t>Cedro</t>
  </si>
  <si>
    <t>São José da Coroa Grande</t>
  </si>
  <si>
    <t>Barra de Guabiraba</t>
  </si>
  <si>
    <t>Rio Formoso</t>
  </si>
  <si>
    <t>Tacaimbó</t>
  </si>
  <si>
    <t>Chã Grande</t>
  </si>
  <si>
    <t>Alagoinha</t>
  </si>
  <si>
    <t>Belém do São Francisco</t>
  </si>
  <si>
    <t>Recife</t>
  </si>
  <si>
    <t>Riacho das Almas</t>
  </si>
  <si>
    <t>Agrestina</t>
  </si>
  <si>
    <t>Lagoa de Itaenga</t>
  </si>
  <si>
    <t>Cupira</t>
  </si>
  <si>
    <t>Sairé</t>
  </si>
  <si>
    <t>Ipubi</t>
  </si>
  <si>
    <t>Parnamirim</t>
  </si>
  <si>
    <t>Venturosa</t>
  </si>
  <si>
    <t>Buenos Aires</t>
  </si>
  <si>
    <t>Calçado</t>
  </si>
  <si>
    <t>Macaparana</t>
  </si>
  <si>
    <t>Petrolândia</t>
  </si>
  <si>
    <t>Santa Maria do Cambucá</t>
  </si>
  <si>
    <t>João Alfredo</t>
  </si>
  <si>
    <t>Água Preta</t>
  </si>
  <si>
    <t>Santa Maria da Boa Vista</t>
  </si>
  <si>
    <t>São João</t>
  </si>
  <si>
    <t>Flores</t>
  </si>
  <si>
    <t>Joaquim Nabuco</t>
  </si>
  <si>
    <t>São Joaquim do Monte</t>
  </si>
  <si>
    <t>Média-baixa (25–50%)</t>
  </si>
  <si>
    <t>Cabrobó</t>
  </si>
  <si>
    <t>Quipapá</t>
  </si>
  <si>
    <t>Palmares</t>
  </si>
  <si>
    <t>Correntes</t>
  </si>
  <si>
    <t>Bom Jardim</t>
  </si>
  <si>
    <t>Primavera</t>
  </si>
  <si>
    <t>São José do Egito</t>
  </si>
  <si>
    <t>Camocim de São Félix</t>
  </si>
  <si>
    <t>Canhotinho</t>
  </si>
  <si>
    <t>Vicência</t>
  </si>
  <si>
    <t>Tacaratu</t>
  </si>
  <si>
    <t>Caetés</t>
  </si>
  <si>
    <t>Lajedo</t>
  </si>
  <si>
    <t>Exu</t>
  </si>
  <si>
    <t>Amaraji</t>
  </si>
  <si>
    <t>Sertânia</t>
  </si>
  <si>
    <t>Feira Nova</t>
  </si>
  <si>
    <t>Toritama</t>
  </si>
  <si>
    <t>Sirinhaém</t>
  </si>
  <si>
    <t>Ilha de Itamaracá</t>
  </si>
  <si>
    <t>Aliança</t>
  </si>
  <si>
    <t>Glória do Goitá</t>
  </si>
  <si>
    <t>Vertentes</t>
  </si>
  <si>
    <t>Ribeirão</t>
  </si>
  <si>
    <t>Trindade</t>
  </si>
  <si>
    <t>Afogados da Ingazeira</t>
  </si>
  <si>
    <t>Floresta</t>
  </si>
  <si>
    <t>Paudalho</t>
  </si>
  <si>
    <t>Ibimirim</t>
  </si>
  <si>
    <t>Cachoeirinha</t>
  </si>
  <si>
    <t>Tabira</t>
  </si>
  <si>
    <t>Taquaritinga do Norte</t>
  </si>
  <si>
    <t>Santa Cruz do Capibaribe</t>
  </si>
  <si>
    <t>Altinho</t>
  </si>
  <si>
    <t>Belo Jardim</t>
  </si>
  <si>
    <t>Barreiros</t>
  </si>
  <si>
    <t>Itaíba</t>
  </si>
  <si>
    <t>Timbaúba</t>
  </si>
  <si>
    <t>Condado</t>
  </si>
  <si>
    <t>Bodocó</t>
  </si>
  <si>
    <t>Baixa (&lt;25%)</t>
  </si>
  <si>
    <t>Ferreiros</t>
  </si>
  <si>
    <t>São Benedito do Sul</t>
  </si>
  <si>
    <t>Passira</t>
  </si>
  <si>
    <t>Catende</t>
  </si>
  <si>
    <t>Salgueiro</t>
  </si>
  <si>
    <t>Buíque</t>
  </si>
  <si>
    <t>Tupanatinga</t>
  </si>
  <si>
    <t>São Bento do Una</t>
  </si>
  <si>
    <t>Tracunhaém</t>
  </si>
  <si>
    <t>Manari</t>
  </si>
  <si>
    <t>Brejo da Madre de Deus</t>
  </si>
  <si>
    <t>São Caitano</t>
  </si>
  <si>
    <t>Garanhuns</t>
  </si>
  <si>
    <t>Bonito</t>
  </si>
  <si>
    <t>Águas Belas</t>
  </si>
  <si>
    <t>Vitória de Santo Antão</t>
  </si>
  <si>
    <t>Pesqueira</t>
  </si>
  <si>
    <t>Limoeiro</t>
  </si>
  <si>
    <t>Bom Conselho</t>
  </si>
  <si>
    <t>Pombos</t>
  </si>
  <si>
    <t>Petrolina</t>
  </si>
  <si>
    <t>Moreno</t>
  </si>
  <si>
    <t>Surubim</t>
  </si>
  <si>
    <t>Araripina</t>
  </si>
  <si>
    <t>Carpina</t>
  </si>
  <si>
    <t>Serra Talhada</t>
  </si>
  <si>
    <t>Camaragibe</t>
  </si>
  <si>
    <t>Bezerros</t>
  </si>
  <si>
    <t>Gravatá</t>
  </si>
  <si>
    <t>Igarassu</t>
  </si>
  <si>
    <t>Arcoverde</t>
  </si>
  <si>
    <t>Caruaru</t>
  </si>
  <si>
    <t>Escada</t>
  </si>
  <si>
    <t>Nazaré da Mata</t>
  </si>
  <si>
    <t>Ouricuri</t>
  </si>
  <si>
    <t>Abreu e Lima</t>
  </si>
  <si>
    <t>São Lourenço da Mata</t>
  </si>
  <si>
    <t>Jaboatão dos Guararapes</t>
  </si>
  <si>
    <t>Olinda</t>
  </si>
  <si>
    <t>Paulista</t>
  </si>
  <si>
    <t>Figura 3 – Mapa temático: receita bruta per capita dos municípios de Pernambuco (2025)</t>
  </si>
  <si>
    <t>Fonte: SICONFI/STN (Receitas Brutas Realizadas, 2025). Mapa elaborado com suporte de inteligência artificial generativa (Claude Sonnet 4.5, Anthropic, 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</si>
</sst>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1F4E79"/>
      <name val="Arial"/>
      <charset val="1"/>
    </font>
    <font>
      <b/>
      <sz val="10"/>
      <color rgb="FF1F4E79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i/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CE4D6"/>
      </patternFill>
    </fill>
    <fill>
      <patternFill patternType="solid">
        <fgColor rgb="FFFFCC99"/>
        <bgColor rgb="FFFFEB9C"/>
      </patternFill>
    </fill>
    <fill>
      <patternFill patternType="solid">
        <fgColor rgb="FFFCE4D6"/>
        <b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4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4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left" vertical="center"/>
    </xf>
    <xf numFmtId="3" fontId="4" fillId="7" borderId="1" xfId="0" applyNumberFormat="1" applyFont="1" applyFill="1" applyBorder="1" applyAlignment="1">
      <alignment horizontal="right" vertical="center"/>
    </xf>
    <xf numFmtId="4" fontId="4" fillId="7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174</xdr:row>
      <xdr:rowOff>161925</xdr:rowOff>
    </xdr:from>
    <xdr:to>
      <xdr:col>8</xdr:col>
      <xdr:colOff>457200</xdr:colOff>
      <xdr:row>209</xdr:row>
      <xdr:rowOff>9525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2500" y="33528000"/>
          <a:ext cx="9658350" cy="65151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4"/>
  <sheetViews>
    <sheetView showGridLines="0" tabSelected="1" topLeftCell="A59" zoomScaleNormal="100" workbookViewId="0">
      <selection activeCell="C218" sqref="C218"/>
    </sheetView>
  </sheetViews>
  <sheetFormatPr defaultColWidth="8.7109375" defaultRowHeight="15"/>
  <cols>
    <col min="1" max="1" width="3" customWidth="1"/>
    <col min="2" max="2" width="21.42578125" customWidth="1"/>
    <col min="3" max="3" width="30" customWidth="1"/>
    <col min="4" max="4" width="21.42578125" customWidth="1"/>
    <col min="5" max="5" width="20" customWidth="1"/>
    <col min="6" max="6" width="22.7109375" customWidth="1"/>
    <col min="7" max="7" width="21.7109375" customWidth="1"/>
    <col min="8" max="8" width="12" customWidth="1"/>
    <col min="9" max="9" width="18" customWidth="1"/>
    <col min="10" max="10" width="27.5703125" customWidth="1"/>
  </cols>
  <sheetData>
    <row r="1" spans="2:10" ht="27.75" customHeight="1">
      <c r="B1" s="5" t="s">
        <v>0</v>
      </c>
      <c r="C1" s="5"/>
      <c r="D1" s="5"/>
      <c r="E1" s="5"/>
      <c r="F1" s="5"/>
      <c r="G1" s="5"/>
      <c r="H1" s="5"/>
      <c r="I1" s="5"/>
    </row>
    <row r="2" spans="2:10" ht="15.75" customHeight="1">
      <c r="B2" s="4" t="s">
        <v>1</v>
      </c>
      <c r="C2" s="4"/>
      <c r="D2" s="4"/>
      <c r="E2" s="4"/>
      <c r="F2" s="4"/>
      <c r="G2" s="4"/>
      <c r="H2" s="4"/>
      <c r="I2" s="4"/>
    </row>
    <row r="4" spans="2:10" ht="15.75" customHeight="1">
      <c r="B4" s="3" t="s">
        <v>2</v>
      </c>
      <c r="C4" s="3"/>
      <c r="D4" s="3"/>
      <c r="E4" s="3"/>
    </row>
    <row r="5" spans="2:10" ht="15" customHeight="1">
      <c r="B5" s="6" t="s">
        <v>3</v>
      </c>
      <c r="C5" s="6">
        <v>163</v>
      </c>
      <c r="D5" s="7"/>
      <c r="E5" s="7"/>
    </row>
    <row r="6" spans="2:10" ht="15" customHeight="1">
      <c r="B6" s="6" t="s">
        <v>4</v>
      </c>
      <c r="C6" s="6" t="s">
        <v>5</v>
      </c>
      <c r="D6" s="7"/>
      <c r="E6" s="7"/>
    </row>
    <row r="7" spans="2:10" ht="15" customHeight="1">
      <c r="B7" s="6" t="s">
        <v>6</v>
      </c>
      <c r="C7" s="6" t="s">
        <v>7</v>
      </c>
      <c r="D7" s="7"/>
      <c r="E7" s="7"/>
    </row>
    <row r="8" spans="2:10" ht="15" customHeight="1">
      <c r="B8" s="6" t="s">
        <v>8</v>
      </c>
      <c r="C8" s="6" t="s">
        <v>9</v>
      </c>
      <c r="D8" s="7"/>
      <c r="E8" s="7"/>
    </row>
    <row r="9" spans="2:10" ht="15" customHeight="1">
      <c r="B9" s="6" t="s">
        <v>10</v>
      </c>
      <c r="C9" s="6" t="s">
        <v>11</v>
      </c>
      <c r="D9" s="7"/>
      <c r="E9" s="7"/>
    </row>
    <row r="11" spans="2:10" ht="18" customHeight="1">
      <c r="B11" s="8" t="s">
        <v>12</v>
      </c>
      <c r="C11" s="8" t="s">
        <v>13</v>
      </c>
      <c r="D11" s="8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</row>
    <row r="12" spans="2:10" ht="15" customHeight="1">
      <c r="B12" s="9">
        <v>1</v>
      </c>
      <c r="C12" s="9">
        <v>2607208</v>
      </c>
      <c r="D12" s="10" t="s">
        <v>21</v>
      </c>
      <c r="E12" s="11">
        <v>98762</v>
      </c>
      <c r="F12" s="12">
        <v>2088097551.25</v>
      </c>
      <c r="G12" s="12">
        <f>F12/E12</f>
        <v>21142.722416010205</v>
      </c>
      <c r="H12" s="13">
        <v>-8.3989999999999991</v>
      </c>
      <c r="I12" s="13">
        <v>-35.064999999999998</v>
      </c>
      <c r="J12" s="14" t="s">
        <v>22</v>
      </c>
    </row>
    <row r="13" spans="2:10" ht="15" customHeight="1">
      <c r="B13" s="9">
        <v>2</v>
      </c>
      <c r="C13" s="9">
        <v>2607406</v>
      </c>
      <c r="D13" s="10" t="s">
        <v>23</v>
      </c>
      <c r="E13" s="11">
        <v>4394</v>
      </c>
      <c r="F13" s="12">
        <v>55985825.780000001</v>
      </c>
      <c r="G13" s="12">
        <f>F13/E13</f>
        <v>12741.425985434684</v>
      </c>
      <c r="H13" s="13">
        <v>-7.6689999999999996</v>
      </c>
      <c r="I13" s="13">
        <v>-35.585999999999999</v>
      </c>
      <c r="J13" s="14" t="s">
        <v>22</v>
      </c>
    </row>
    <row r="14" spans="2:10" ht="15" customHeight="1">
      <c r="B14" s="9">
        <v>3</v>
      </c>
      <c r="C14" s="9">
        <v>2612109</v>
      </c>
      <c r="D14" s="10" t="s">
        <v>24</v>
      </c>
      <c r="E14" s="11">
        <v>5733</v>
      </c>
      <c r="F14" s="12">
        <v>69626364.269999996</v>
      </c>
      <c r="G14" s="12">
        <f>F14/E14</f>
        <v>12144.839398220825</v>
      </c>
      <c r="H14" s="13">
        <v>-8.0109999999999992</v>
      </c>
      <c r="I14" s="13">
        <v>-37.253</v>
      </c>
      <c r="J14" s="14" t="s">
        <v>22</v>
      </c>
    </row>
    <row r="15" spans="2:10" ht="15" customHeight="1">
      <c r="B15" s="9">
        <v>4</v>
      </c>
      <c r="C15" s="9">
        <v>2603405</v>
      </c>
      <c r="D15" s="10" t="s">
        <v>25</v>
      </c>
      <c r="E15" s="11">
        <v>5241</v>
      </c>
      <c r="F15" s="12">
        <v>63298540.350000001</v>
      </c>
      <c r="G15" s="12">
        <f>F15/E15</f>
        <v>12077.569232970807</v>
      </c>
      <c r="H15" s="13">
        <v>-8.3699999999999992</v>
      </c>
      <c r="I15" s="13">
        <v>-37.261000000000003</v>
      </c>
      <c r="J15" s="14" t="s">
        <v>22</v>
      </c>
    </row>
    <row r="16" spans="2:10" ht="15" customHeight="1">
      <c r="B16" s="9">
        <v>5</v>
      </c>
      <c r="C16" s="9">
        <v>2614402</v>
      </c>
      <c r="D16" s="10" t="s">
        <v>26</v>
      </c>
      <c r="E16" s="11">
        <v>5246</v>
      </c>
      <c r="F16" s="12">
        <v>62422403.329999998</v>
      </c>
      <c r="G16" s="12">
        <f>F16/E16</f>
        <v>11899.047527640107</v>
      </c>
      <c r="H16" s="13">
        <v>-8.3460000000000001</v>
      </c>
      <c r="I16" s="13">
        <v>-37.658000000000001</v>
      </c>
      <c r="J16" s="14" t="s">
        <v>22</v>
      </c>
    </row>
    <row r="17" spans="2:10" ht="15" customHeight="1">
      <c r="B17" s="9">
        <v>6</v>
      </c>
      <c r="C17" s="9">
        <v>2611533</v>
      </c>
      <c r="D17" s="10" t="s">
        <v>27</v>
      </c>
      <c r="E17" s="11">
        <v>6508</v>
      </c>
      <c r="F17" s="12">
        <v>72297810.920000002</v>
      </c>
      <c r="G17" s="12">
        <f>F17/E17</f>
        <v>11109.067443146896</v>
      </c>
      <c r="H17" s="13">
        <v>-8.2520000000000007</v>
      </c>
      <c r="I17" s="13">
        <v>-35.088000000000001</v>
      </c>
      <c r="J17" s="14" t="s">
        <v>22</v>
      </c>
    </row>
    <row r="18" spans="2:10" ht="15" customHeight="1">
      <c r="B18" s="9">
        <v>7</v>
      </c>
      <c r="C18" s="9">
        <v>2606200</v>
      </c>
      <c r="D18" s="10" t="s">
        <v>28</v>
      </c>
      <c r="E18" s="11">
        <v>80983</v>
      </c>
      <c r="F18" s="12">
        <v>896056698.89999998</v>
      </c>
      <c r="G18" s="12">
        <f>F18/E18</f>
        <v>11064.750613091635</v>
      </c>
      <c r="H18" s="13">
        <v>-7.56</v>
      </c>
      <c r="I18" s="13">
        <v>-35.002000000000002</v>
      </c>
      <c r="J18" s="14" t="s">
        <v>22</v>
      </c>
    </row>
    <row r="19" spans="2:10" ht="15" customHeight="1">
      <c r="B19" s="9">
        <v>8</v>
      </c>
      <c r="C19" s="9">
        <v>2616183</v>
      </c>
      <c r="D19" s="10" t="s">
        <v>29</v>
      </c>
      <c r="E19" s="11">
        <v>7549</v>
      </c>
      <c r="F19" s="12">
        <v>73082179.489999995</v>
      </c>
      <c r="G19" s="12">
        <f>F19/E19</f>
        <v>9681.0411299509869</v>
      </c>
      <c r="H19" s="13">
        <v>-8.0709999999999997</v>
      </c>
      <c r="I19" s="13">
        <v>-34.965000000000003</v>
      </c>
      <c r="J19" s="14" t="s">
        <v>22</v>
      </c>
    </row>
    <row r="20" spans="2:10" ht="15" customHeight="1">
      <c r="B20" s="9">
        <v>9</v>
      </c>
      <c r="C20" s="9">
        <v>2609105</v>
      </c>
      <c r="D20" s="10" t="s">
        <v>30</v>
      </c>
      <c r="E20" s="11">
        <v>11068</v>
      </c>
      <c r="F20" s="12">
        <v>106255263.06999999</v>
      </c>
      <c r="G20" s="12">
        <f>F20/E20</f>
        <v>9600.2225397542461</v>
      </c>
      <c r="H20" s="13">
        <v>-7.827</v>
      </c>
      <c r="I20" s="13">
        <v>-35.414999999999999</v>
      </c>
      <c r="J20" s="14" t="s">
        <v>22</v>
      </c>
    </row>
    <row r="21" spans="2:10" ht="15" customHeight="1">
      <c r="B21" s="9">
        <v>10</v>
      </c>
      <c r="C21" s="9">
        <v>2602407</v>
      </c>
      <c r="D21" s="10" t="s">
        <v>31</v>
      </c>
      <c r="E21" s="11">
        <v>9084</v>
      </c>
      <c r="F21" s="12">
        <v>86230766.090000004</v>
      </c>
      <c r="G21" s="12">
        <f>F21/E21</f>
        <v>9492.5986448701024</v>
      </c>
      <c r="H21" s="13">
        <v>-8.6219999999999999</v>
      </c>
      <c r="I21" s="13">
        <v>-36.213000000000001</v>
      </c>
      <c r="J21" s="14" t="s">
        <v>22</v>
      </c>
    </row>
    <row r="22" spans="2:10" ht="15" customHeight="1">
      <c r="B22" s="9">
        <v>11</v>
      </c>
      <c r="C22" s="9">
        <v>2602506</v>
      </c>
      <c r="D22" s="10" t="s">
        <v>32</v>
      </c>
      <c r="E22" s="11">
        <v>7706</v>
      </c>
      <c r="F22" s="12">
        <v>72927156.670000002</v>
      </c>
      <c r="G22" s="12">
        <f>F22/E22</f>
        <v>9463.6850077861418</v>
      </c>
      <c r="H22" s="13">
        <v>-8.375</v>
      </c>
      <c r="I22" s="13">
        <v>-37.985999999999997</v>
      </c>
      <c r="J22" s="14" t="s">
        <v>22</v>
      </c>
    </row>
    <row r="23" spans="2:10" ht="15" customHeight="1">
      <c r="B23" s="9">
        <v>12</v>
      </c>
      <c r="C23" s="9">
        <v>2606309</v>
      </c>
      <c r="D23" s="10" t="s">
        <v>33</v>
      </c>
      <c r="E23" s="11">
        <v>6971</v>
      </c>
      <c r="F23" s="12">
        <v>65436660.759999998</v>
      </c>
      <c r="G23" s="12">
        <f>F23/E23</f>
        <v>9386.9833252044173</v>
      </c>
      <c r="H23" s="13">
        <v>-7.6319999999999997</v>
      </c>
      <c r="I23" s="13">
        <v>-34.875999999999998</v>
      </c>
      <c r="J23" s="14" t="s">
        <v>22</v>
      </c>
    </row>
    <row r="24" spans="2:10" ht="15" customHeight="1">
      <c r="B24" s="9">
        <v>13</v>
      </c>
      <c r="C24" s="9">
        <v>2615102</v>
      </c>
      <c r="D24" s="10" t="s">
        <v>34</v>
      </c>
      <c r="E24" s="11">
        <v>6646</v>
      </c>
      <c r="F24" s="12">
        <v>62296914.659999996</v>
      </c>
      <c r="G24" s="12">
        <f>F24/E24</f>
        <v>9373.5953445681607</v>
      </c>
      <c r="H24" s="13">
        <v>-7.8369999999999997</v>
      </c>
      <c r="I24" s="13">
        <v>-35.661999999999999</v>
      </c>
      <c r="J24" s="14" t="s">
        <v>22</v>
      </c>
    </row>
    <row r="25" spans="2:10" ht="15" customHeight="1">
      <c r="B25" s="9">
        <v>14</v>
      </c>
      <c r="C25" s="9">
        <v>2608305</v>
      </c>
      <c r="D25" s="10" t="s">
        <v>35</v>
      </c>
      <c r="E25" s="11">
        <v>15336</v>
      </c>
      <c r="F25" s="12">
        <v>139940689.84999999</v>
      </c>
      <c r="G25" s="12">
        <f>F25/E25</f>
        <v>9124.9797763432434</v>
      </c>
      <c r="H25" s="13">
        <v>-7.8769999999999998</v>
      </c>
      <c r="I25" s="13">
        <v>-36.661000000000001</v>
      </c>
      <c r="J25" s="14" t="s">
        <v>22</v>
      </c>
    </row>
    <row r="26" spans="2:10" ht="15" customHeight="1">
      <c r="B26" s="9">
        <v>15</v>
      </c>
      <c r="C26" s="9">
        <v>2603603</v>
      </c>
      <c r="D26" s="10" t="s">
        <v>36</v>
      </c>
      <c r="E26" s="11">
        <v>7764</v>
      </c>
      <c r="F26" s="12">
        <v>70049820.400000006</v>
      </c>
      <c r="G26" s="12">
        <f>F26/E26</f>
        <v>9022.3879958784146</v>
      </c>
      <c r="H26" s="13">
        <v>-8.2170000000000005</v>
      </c>
      <c r="I26" s="13">
        <v>-35.707000000000001</v>
      </c>
      <c r="J26" s="14" t="s">
        <v>22</v>
      </c>
    </row>
    <row r="27" spans="2:10" ht="15" customHeight="1">
      <c r="B27" s="9">
        <v>16</v>
      </c>
      <c r="C27" s="9">
        <v>2608602</v>
      </c>
      <c r="D27" s="10" t="s">
        <v>37</v>
      </c>
      <c r="E27" s="11">
        <v>11859</v>
      </c>
      <c r="F27" s="12">
        <v>104970625.58</v>
      </c>
      <c r="G27" s="12">
        <f>F27/E27</f>
        <v>8851.5579374314857</v>
      </c>
      <c r="H27" s="13">
        <v>-7.7610000000000001</v>
      </c>
      <c r="I27" s="13">
        <v>-34.875</v>
      </c>
      <c r="J27" s="14" t="s">
        <v>22</v>
      </c>
    </row>
    <row r="28" spans="2:10" ht="15" customHeight="1">
      <c r="B28" s="9">
        <v>17</v>
      </c>
      <c r="C28" s="9">
        <v>2601805</v>
      </c>
      <c r="D28" s="10" t="s">
        <v>38</v>
      </c>
      <c r="E28" s="11">
        <v>11320</v>
      </c>
      <c r="F28" s="12">
        <v>99290844.239999995</v>
      </c>
      <c r="G28" s="12">
        <f>F28/E28</f>
        <v>8771.2759929328622</v>
      </c>
      <c r="H28" s="13">
        <v>-8.0969999999999995</v>
      </c>
      <c r="I28" s="13">
        <v>-35.036999999999999</v>
      </c>
      <c r="J28" s="14" t="s">
        <v>22</v>
      </c>
    </row>
    <row r="29" spans="2:10" ht="15" customHeight="1">
      <c r="B29" s="9">
        <v>18</v>
      </c>
      <c r="C29" s="9">
        <v>2610103</v>
      </c>
      <c r="D29" s="10" t="s">
        <v>39</v>
      </c>
      <c r="E29" s="11">
        <v>7032</v>
      </c>
      <c r="F29" s="12">
        <v>61523948.600000001</v>
      </c>
      <c r="G29" s="12">
        <f>F29/E29</f>
        <v>8749.1394482366322</v>
      </c>
      <c r="H29" s="13">
        <v>-7.8769999999999998</v>
      </c>
      <c r="I29" s="13">
        <v>-35.314999999999998</v>
      </c>
      <c r="J29" s="14" t="s">
        <v>22</v>
      </c>
    </row>
    <row r="30" spans="2:10" ht="15" customHeight="1">
      <c r="B30" s="9">
        <v>19</v>
      </c>
      <c r="C30" s="9">
        <v>2616506</v>
      </c>
      <c r="D30" s="10" t="s">
        <v>40</v>
      </c>
      <c r="E30" s="11">
        <v>11288</v>
      </c>
      <c r="F30" s="12">
        <v>98197619.5</v>
      </c>
      <c r="G30" s="12">
        <f>F30/E30</f>
        <v>8699.2930102764003</v>
      </c>
      <c r="H30" s="13">
        <v>-7.9660000000000002</v>
      </c>
      <c r="I30" s="13">
        <v>-38.209000000000003</v>
      </c>
      <c r="J30" s="14" t="s">
        <v>22</v>
      </c>
    </row>
    <row r="31" spans="2:10" ht="15" customHeight="1">
      <c r="B31" s="9">
        <v>20</v>
      </c>
      <c r="C31" s="9">
        <v>2608404</v>
      </c>
      <c r="D31" s="10" t="s">
        <v>41</v>
      </c>
      <c r="E31" s="11">
        <v>12713</v>
      </c>
      <c r="F31" s="12">
        <v>109576062.42</v>
      </c>
      <c r="G31" s="12">
        <f>F31/E31</f>
        <v>8619.2135939589407</v>
      </c>
      <c r="H31" s="13">
        <v>-8.0229999999999997</v>
      </c>
      <c r="I31" s="13">
        <v>-36.896000000000001</v>
      </c>
      <c r="J31" s="14" t="s">
        <v>22</v>
      </c>
    </row>
    <row r="32" spans="2:10" ht="15" customHeight="1">
      <c r="B32" s="9">
        <v>21</v>
      </c>
      <c r="C32" s="9">
        <v>2604809</v>
      </c>
      <c r="D32" s="10" t="s">
        <v>42</v>
      </c>
      <c r="E32" s="11">
        <v>10361</v>
      </c>
      <c r="F32" s="12">
        <v>88197376.620000005</v>
      </c>
      <c r="G32" s="12">
        <f>F32/E32</f>
        <v>8512.4386275456036</v>
      </c>
      <c r="H32" s="13">
        <v>-8.1189999999999998</v>
      </c>
      <c r="I32" s="13">
        <v>-37.69</v>
      </c>
      <c r="J32" s="14" t="s">
        <v>22</v>
      </c>
    </row>
    <row r="33" spans="2:10" ht="15" customHeight="1">
      <c r="B33" s="9">
        <v>22</v>
      </c>
      <c r="C33" s="9">
        <v>2612455</v>
      </c>
      <c r="D33" s="10" t="s">
        <v>43</v>
      </c>
      <c r="E33" s="11">
        <v>14178</v>
      </c>
      <c r="F33" s="12">
        <v>120209669.23</v>
      </c>
      <c r="G33" s="12">
        <f>F33/E33</f>
        <v>8478.6055318098461</v>
      </c>
      <c r="H33" s="13">
        <v>-9.0250000000000004</v>
      </c>
      <c r="I33" s="13">
        <v>-40.155000000000001</v>
      </c>
      <c r="J33" s="14" t="s">
        <v>22</v>
      </c>
    </row>
    <row r="34" spans="2:10" ht="15" customHeight="1">
      <c r="B34" s="9">
        <v>23</v>
      </c>
      <c r="C34" s="9">
        <v>2615904</v>
      </c>
      <c r="D34" s="10" t="s">
        <v>44</v>
      </c>
      <c r="E34" s="11">
        <v>8018</v>
      </c>
      <c r="F34" s="12">
        <v>67670762.670000002</v>
      </c>
      <c r="G34" s="12">
        <f>F34/E34</f>
        <v>8439.8556585183342</v>
      </c>
      <c r="H34" s="13">
        <v>-8.2129999999999992</v>
      </c>
      <c r="I34" s="13">
        <v>-36.517000000000003</v>
      </c>
      <c r="J34" s="14" t="s">
        <v>22</v>
      </c>
    </row>
    <row r="35" spans="2:10" ht="15" customHeight="1">
      <c r="B35" s="9">
        <v>24</v>
      </c>
      <c r="C35" s="9">
        <v>2606705</v>
      </c>
      <c r="D35" s="10" t="s">
        <v>45</v>
      </c>
      <c r="E35" s="11">
        <v>7127</v>
      </c>
      <c r="F35" s="12">
        <v>59815800.789999999</v>
      </c>
      <c r="G35" s="12">
        <f>F35/E35</f>
        <v>8392.8442247790099</v>
      </c>
      <c r="H35" s="13">
        <v>-7.8959999999999999</v>
      </c>
      <c r="I35" s="13">
        <v>-40.326999999999998</v>
      </c>
      <c r="J35" s="14" t="s">
        <v>22</v>
      </c>
    </row>
    <row r="36" spans="2:10" ht="15" customHeight="1">
      <c r="B36" s="9">
        <v>25</v>
      </c>
      <c r="C36" s="9">
        <v>2601508</v>
      </c>
      <c r="D36" s="10" t="s">
        <v>46</v>
      </c>
      <c r="E36" s="11">
        <v>10339</v>
      </c>
      <c r="F36" s="12">
        <v>86286135.390000001</v>
      </c>
      <c r="G36" s="12">
        <f>F36/E36</f>
        <v>8345.6944955991876</v>
      </c>
      <c r="H36" s="13">
        <v>-7.9649999999999999</v>
      </c>
      <c r="I36" s="13">
        <v>-38.972000000000001</v>
      </c>
      <c r="J36" s="14" t="s">
        <v>22</v>
      </c>
    </row>
    <row r="37" spans="2:10" ht="15" customHeight="1">
      <c r="B37" s="9">
        <v>26</v>
      </c>
      <c r="C37" s="9">
        <v>2609204</v>
      </c>
      <c r="D37" s="10" t="s">
        <v>47</v>
      </c>
      <c r="E37" s="11">
        <v>8935</v>
      </c>
      <c r="F37" s="12">
        <v>72945228.480000004</v>
      </c>
      <c r="G37" s="12">
        <f>F37/E37</f>
        <v>8163.9875187465032</v>
      </c>
      <c r="H37" s="13">
        <v>-7.8440000000000003</v>
      </c>
      <c r="I37" s="13">
        <v>-35.194000000000003</v>
      </c>
      <c r="J37" s="14" t="s">
        <v>22</v>
      </c>
    </row>
    <row r="38" spans="2:10" ht="15" customHeight="1">
      <c r="B38" s="9">
        <v>27</v>
      </c>
      <c r="C38" s="9">
        <v>2601003</v>
      </c>
      <c r="D38" s="10" t="s">
        <v>48</v>
      </c>
      <c r="E38" s="11">
        <v>9965</v>
      </c>
      <c r="F38" s="12">
        <v>80363124.790000007</v>
      </c>
      <c r="G38" s="12">
        <f>F38/E38</f>
        <v>8064.5383632714511</v>
      </c>
      <c r="H38" s="13">
        <v>-7.66</v>
      </c>
      <c r="I38" s="13">
        <v>-35.447000000000003</v>
      </c>
      <c r="J38" s="14" t="s">
        <v>22</v>
      </c>
    </row>
    <row r="39" spans="2:10" ht="15" customHeight="1">
      <c r="B39" s="9">
        <v>28</v>
      </c>
      <c r="C39" s="9">
        <v>2612307</v>
      </c>
      <c r="D39" s="10" t="s">
        <v>49</v>
      </c>
      <c r="E39" s="11">
        <v>13530</v>
      </c>
      <c r="F39" s="12">
        <v>108512699.39</v>
      </c>
      <c r="G39" s="12">
        <f>F39/E39</f>
        <v>8020.1551655580197</v>
      </c>
      <c r="H39" s="13">
        <v>-7.8920000000000003</v>
      </c>
      <c r="I39" s="13">
        <v>-38.972000000000001</v>
      </c>
      <c r="J39" s="14" t="s">
        <v>22</v>
      </c>
    </row>
    <row r="40" spans="2:10" ht="15" customHeight="1">
      <c r="B40" s="9">
        <v>29</v>
      </c>
      <c r="C40" s="9">
        <v>2615201</v>
      </c>
      <c r="D40" s="10" t="s">
        <v>50</v>
      </c>
      <c r="E40" s="11">
        <v>8832</v>
      </c>
      <c r="F40" s="12">
        <v>70109638.209999993</v>
      </c>
      <c r="G40" s="12">
        <f>F40/E40</f>
        <v>7938.1383842844198</v>
      </c>
      <c r="H40" s="13">
        <v>-7.875</v>
      </c>
      <c r="I40" s="13">
        <v>-35.222000000000001</v>
      </c>
      <c r="J40" s="14" t="s">
        <v>22</v>
      </c>
    </row>
    <row r="41" spans="2:10" ht="15" customHeight="1">
      <c r="B41" s="9">
        <v>30</v>
      </c>
      <c r="C41" s="9">
        <v>2610202</v>
      </c>
      <c r="D41" s="10" t="s">
        <v>51</v>
      </c>
      <c r="E41" s="11">
        <v>22412</v>
      </c>
      <c r="F41" s="12">
        <v>177186666.44</v>
      </c>
      <c r="G41" s="12">
        <f>F41/E41</f>
        <v>7905.8837426378723</v>
      </c>
      <c r="H41" s="13">
        <v>-7.6959999999999997</v>
      </c>
      <c r="I41" s="13">
        <v>-35.139000000000003</v>
      </c>
      <c r="J41" s="14" t="s">
        <v>22</v>
      </c>
    </row>
    <row r="42" spans="2:10" ht="15" customHeight="1">
      <c r="B42" s="9">
        <v>31</v>
      </c>
      <c r="C42" s="9">
        <v>2611200</v>
      </c>
      <c r="D42" s="10" t="s">
        <v>52</v>
      </c>
      <c r="E42" s="11">
        <v>10499</v>
      </c>
      <c r="F42" s="12">
        <v>82689562.969999999</v>
      </c>
      <c r="G42" s="12">
        <f>F42/E42</f>
        <v>7875.9465634822363</v>
      </c>
      <c r="H42" s="13">
        <v>-8.49</v>
      </c>
      <c r="I42" s="13">
        <v>-36.048000000000002</v>
      </c>
      <c r="J42" s="14" t="s">
        <v>22</v>
      </c>
    </row>
    <row r="43" spans="2:10" ht="15" customHeight="1">
      <c r="B43" s="9">
        <v>32</v>
      </c>
      <c r="C43" s="9">
        <v>2600203</v>
      </c>
      <c r="D43" s="10" t="s">
        <v>53</v>
      </c>
      <c r="E43" s="11">
        <v>16486</v>
      </c>
      <c r="F43" s="12">
        <v>129758539.41</v>
      </c>
      <c r="G43" s="12">
        <f>F43/E43</f>
        <v>7870.832185490719</v>
      </c>
      <c r="H43" s="13">
        <v>-8.5129999999999999</v>
      </c>
      <c r="I43" s="13">
        <v>-41.01</v>
      </c>
      <c r="J43" s="14" t="s">
        <v>22</v>
      </c>
    </row>
    <row r="44" spans="2:10" ht="15" customHeight="1">
      <c r="B44" s="9">
        <v>33</v>
      </c>
      <c r="C44" s="9">
        <v>2605806</v>
      </c>
      <c r="D44" s="10" t="s">
        <v>54</v>
      </c>
      <c r="E44" s="11">
        <v>13666</v>
      </c>
      <c r="F44" s="12">
        <v>107506028.08</v>
      </c>
      <c r="G44" s="12">
        <f>F44/E44</f>
        <v>7866.6784779745349</v>
      </c>
      <c r="H44" s="13">
        <v>-9.0559999999999992</v>
      </c>
      <c r="I44" s="13">
        <v>-37.148000000000003</v>
      </c>
      <c r="J44" s="14" t="s">
        <v>22</v>
      </c>
    </row>
    <row r="45" spans="2:10" ht="15" customHeight="1">
      <c r="B45" s="9">
        <v>34</v>
      </c>
      <c r="C45" s="9">
        <v>2609808</v>
      </c>
      <c r="D45" s="10" t="s">
        <v>55</v>
      </c>
      <c r="E45" s="11">
        <v>13670</v>
      </c>
      <c r="F45" s="12">
        <v>107518911.09999999</v>
      </c>
      <c r="G45" s="12">
        <f>F45/E45</f>
        <v>7865.3190270665691</v>
      </c>
      <c r="H45" s="13">
        <v>-8.7100000000000009</v>
      </c>
      <c r="I45" s="13">
        <v>-37.44</v>
      </c>
      <c r="J45" s="14" t="s">
        <v>22</v>
      </c>
    </row>
    <row r="46" spans="2:10" ht="15" customHeight="1">
      <c r="B46" s="9">
        <v>35</v>
      </c>
      <c r="C46" s="9">
        <v>2603900</v>
      </c>
      <c r="D46" s="10" t="s">
        <v>56</v>
      </c>
      <c r="E46" s="11">
        <v>18437</v>
      </c>
      <c r="F46" s="12">
        <v>144192176.30000001</v>
      </c>
      <c r="G46" s="12">
        <f>F46/E46</f>
        <v>7820.8047025004071</v>
      </c>
      <c r="H46" s="13">
        <v>-8.33</v>
      </c>
      <c r="I46" s="13">
        <v>-36.927999999999997</v>
      </c>
      <c r="J46" s="14" t="s">
        <v>22</v>
      </c>
    </row>
    <row r="47" spans="2:10" ht="15" customHeight="1">
      <c r="B47" s="9">
        <v>36</v>
      </c>
      <c r="C47" s="9">
        <v>2604908</v>
      </c>
      <c r="D47" s="10" t="s">
        <v>57</v>
      </c>
      <c r="E47" s="11">
        <v>15824</v>
      </c>
      <c r="F47" s="12">
        <v>122139900.05</v>
      </c>
      <c r="G47" s="12">
        <f>F47/E47</f>
        <v>7718.6488909251766</v>
      </c>
      <c r="H47" s="13">
        <v>-7.7350000000000003</v>
      </c>
      <c r="I47" s="13">
        <v>-35.048999999999999</v>
      </c>
      <c r="J47" s="14" t="s">
        <v>22</v>
      </c>
    </row>
    <row r="48" spans="2:10" ht="15" customHeight="1">
      <c r="B48" s="9">
        <v>37</v>
      </c>
      <c r="C48" s="9">
        <v>2603801</v>
      </c>
      <c r="D48" s="10" t="s">
        <v>58</v>
      </c>
      <c r="E48" s="11">
        <v>18445</v>
      </c>
      <c r="F48" s="12">
        <v>141512410.94</v>
      </c>
      <c r="G48" s="12">
        <f>F48/E48</f>
        <v>7672.1285410680402</v>
      </c>
      <c r="H48" s="13">
        <v>-8.8339999999999996</v>
      </c>
      <c r="I48" s="13">
        <v>-35.978999999999999</v>
      </c>
      <c r="J48" s="14" t="s">
        <v>22</v>
      </c>
    </row>
    <row r="49" spans="2:10" ht="15" customHeight="1">
      <c r="B49" s="9">
        <v>38</v>
      </c>
      <c r="C49" s="9">
        <v>2608008</v>
      </c>
      <c r="D49" s="10" t="s">
        <v>59</v>
      </c>
      <c r="E49" s="11">
        <v>15419</v>
      </c>
      <c r="F49" s="12">
        <v>117635937.73</v>
      </c>
      <c r="G49" s="12">
        <f>F49/E49</f>
        <v>7629.2845015889488</v>
      </c>
      <c r="H49" s="13">
        <v>-8.0589999999999993</v>
      </c>
      <c r="I49" s="13">
        <v>-36.183</v>
      </c>
      <c r="J49" s="14" t="s">
        <v>22</v>
      </c>
    </row>
    <row r="50" spans="2:10" ht="15" customHeight="1">
      <c r="B50" s="9">
        <v>39</v>
      </c>
      <c r="C50" s="9">
        <v>2612802</v>
      </c>
      <c r="D50" s="10" t="s">
        <v>60</v>
      </c>
      <c r="E50" s="11">
        <v>10164</v>
      </c>
      <c r="F50" s="12">
        <v>77250604.099999994</v>
      </c>
      <c r="G50" s="12">
        <f>F50/E50</f>
        <v>7600.4136265249899</v>
      </c>
      <c r="H50" s="13">
        <v>-7.8659999999999997</v>
      </c>
      <c r="I50" s="13">
        <v>-35.073999999999998</v>
      </c>
      <c r="J50" s="14" t="s">
        <v>22</v>
      </c>
    </row>
    <row r="51" spans="2:10" ht="15" customHeight="1">
      <c r="B51" s="9">
        <v>40</v>
      </c>
      <c r="C51" s="9">
        <v>2614857</v>
      </c>
      <c r="D51" s="10" t="s">
        <v>61</v>
      </c>
      <c r="E51" s="11">
        <v>23494</v>
      </c>
      <c r="F51" s="12">
        <v>178374287.78</v>
      </c>
      <c r="G51" s="12">
        <f>F51/E51</f>
        <v>7592.333692857751</v>
      </c>
      <c r="H51" s="13">
        <v>-7.9649999999999999</v>
      </c>
      <c r="I51" s="13">
        <v>-34.951000000000001</v>
      </c>
      <c r="J51" s="14" t="s">
        <v>22</v>
      </c>
    </row>
    <row r="52" spans="2:10" ht="15" customHeight="1">
      <c r="B52" s="9">
        <v>41</v>
      </c>
      <c r="C52" s="9">
        <v>2602902</v>
      </c>
      <c r="D52" s="10" t="s">
        <v>62</v>
      </c>
      <c r="E52" s="11">
        <v>203084</v>
      </c>
      <c r="F52" s="12">
        <v>1536001328.5899999</v>
      </c>
      <c r="G52" s="12">
        <f>F52/E52</f>
        <v>7563.3793336254948</v>
      </c>
      <c r="H52" s="13">
        <v>-8.1199999999999992</v>
      </c>
      <c r="I52" s="13">
        <v>-36.479999999999997</v>
      </c>
      <c r="J52" s="14" t="s">
        <v>22</v>
      </c>
    </row>
    <row r="53" spans="2:10" ht="15" customHeight="1">
      <c r="B53" s="15">
        <v>42</v>
      </c>
      <c r="C53" s="15">
        <v>2608701</v>
      </c>
      <c r="D53" s="16" t="s">
        <v>63</v>
      </c>
      <c r="E53" s="17">
        <v>14139</v>
      </c>
      <c r="F53" s="18">
        <v>106309510.02</v>
      </c>
      <c r="G53" s="18">
        <f>F53/E53</f>
        <v>7518.8846467218327</v>
      </c>
      <c r="H53" s="19">
        <v>-8.2799999999999994</v>
      </c>
      <c r="I53" s="19">
        <v>-37.799999999999997</v>
      </c>
      <c r="J53" s="20" t="s">
        <v>64</v>
      </c>
    </row>
    <row r="54" spans="2:10" ht="15" customHeight="1">
      <c r="B54" s="15">
        <v>43</v>
      </c>
      <c r="C54" s="15">
        <v>2610301</v>
      </c>
      <c r="D54" s="16" t="s">
        <v>65</v>
      </c>
      <c r="E54" s="17">
        <v>12181</v>
      </c>
      <c r="F54" s="18">
        <v>91515197.560000002</v>
      </c>
      <c r="G54" s="18">
        <f>F54/E54</f>
        <v>7512.9461916098844</v>
      </c>
      <c r="H54" s="19">
        <v>-8.64</v>
      </c>
      <c r="I54" s="19">
        <v>-37.317999999999998</v>
      </c>
      <c r="J54" s="20" t="s">
        <v>64</v>
      </c>
    </row>
    <row r="55" spans="2:10" ht="15" customHeight="1">
      <c r="B55" s="15">
        <v>44</v>
      </c>
      <c r="C55" s="15">
        <v>2613800</v>
      </c>
      <c r="D55" s="16" t="s">
        <v>66</v>
      </c>
      <c r="E55" s="17">
        <v>16331</v>
      </c>
      <c r="F55" s="18">
        <v>122351987.04000001</v>
      </c>
      <c r="G55" s="18">
        <f>F55/E55</f>
        <v>7492.008268936379</v>
      </c>
      <c r="H55" s="19">
        <v>-8.1880000000000006</v>
      </c>
      <c r="I55" s="19">
        <v>-37.093000000000004</v>
      </c>
      <c r="J55" s="20" t="s">
        <v>64</v>
      </c>
    </row>
    <row r="56" spans="2:10" ht="15" customHeight="1">
      <c r="B56" s="15">
        <v>45</v>
      </c>
      <c r="C56" s="15">
        <v>2609709</v>
      </c>
      <c r="D56" s="16" t="s">
        <v>67</v>
      </c>
      <c r="E56" s="17">
        <v>21173</v>
      </c>
      <c r="F56" s="18">
        <v>157318110.71000001</v>
      </c>
      <c r="G56" s="18">
        <f>F56/E56</f>
        <v>7430.1284990317863</v>
      </c>
      <c r="H56" s="19">
        <v>-8.8249999999999993</v>
      </c>
      <c r="I56" s="19">
        <v>-37.378999999999998</v>
      </c>
      <c r="J56" s="20" t="s">
        <v>64</v>
      </c>
    </row>
    <row r="57" spans="2:10" ht="15" customHeight="1">
      <c r="B57" s="15">
        <v>46</v>
      </c>
      <c r="C57" s="15">
        <v>2609303</v>
      </c>
      <c r="D57" s="16" t="s">
        <v>68</v>
      </c>
      <c r="E57" s="17">
        <v>13359</v>
      </c>
      <c r="F57" s="18">
        <v>98851495.140000001</v>
      </c>
      <c r="G57" s="18">
        <f>F57/E57</f>
        <v>7399.6178710981358</v>
      </c>
      <c r="H57" s="19">
        <v>-8.2219999999999995</v>
      </c>
      <c r="I57" s="19">
        <v>-37.414999999999999</v>
      </c>
      <c r="J57" s="20" t="s">
        <v>64</v>
      </c>
    </row>
    <row r="58" spans="2:10" ht="15" customHeight="1">
      <c r="B58" s="15">
        <v>47</v>
      </c>
      <c r="C58" s="15">
        <v>2605905</v>
      </c>
      <c r="D58" s="16" t="s">
        <v>69</v>
      </c>
      <c r="E58" s="17">
        <v>18012</v>
      </c>
      <c r="F58" s="18">
        <v>133169495.76000001</v>
      </c>
      <c r="G58" s="18">
        <f>F58/E58</f>
        <v>7393.3764023984013</v>
      </c>
      <c r="H58" s="19">
        <v>-8.5429999999999993</v>
      </c>
      <c r="I58" s="19">
        <v>-37.118000000000002</v>
      </c>
      <c r="J58" s="20" t="s">
        <v>64</v>
      </c>
    </row>
    <row r="59" spans="2:10" ht="15" customHeight="1">
      <c r="B59" s="15">
        <v>48</v>
      </c>
      <c r="C59" s="15">
        <v>2604403</v>
      </c>
      <c r="D59" s="16" t="s">
        <v>70</v>
      </c>
      <c r="E59" s="17">
        <v>12387</v>
      </c>
      <c r="F59" s="18">
        <v>91124432.510000005</v>
      </c>
      <c r="G59" s="18">
        <f>F59/E59</f>
        <v>7356.4569718253015</v>
      </c>
      <c r="H59" s="19">
        <v>-7.9240000000000004</v>
      </c>
      <c r="I59" s="19">
        <v>-36.07</v>
      </c>
      <c r="J59" s="20" t="s">
        <v>64</v>
      </c>
    </row>
    <row r="60" spans="2:10" ht="15" customHeight="1">
      <c r="B60" s="15">
        <v>49</v>
      </c>
      <c r="C60" s="15">
        <v>2606903</v>
      </c>
      <c r="D60" s="16" t="s">
        <v>71</v>
      </c>
      <c r="E60" s="17">
        <v>10950</v>
      </c>
      <c r="F60" s="18">
        <v>80242481.219999999</v>
      </c>
      <c r="G60" s="18">
        <f>F60/E60</f>
        <v>7328.0804767123291</v>
      </c>
      <c r="H60" s="19">
        <v>-8.8699999999999992</v>
      </c>
      <c r="I60" s="19">
        <v>-37.618000000000002</v>
      </c>
      <c r="J60" s="20" t="s">
        <v>64</v>
      </c>
    </row>
    <row r="61" spans="2:10" ht="15" customHeight="1">
      <c r="B61" s="15">
        <v>50</v>
      </c>
      <c r="C61" s="15">
        <v>2615706</v>
      </c>
      <c r="D61" s="16" t="s">
        <v>72</v>
      </c>
      <c r="E61" s="17">
        <v>14647</v>
      </c>
      <c r="F61" s="18">
        <v>107067933.61</v>
      </c>
      <c r="G61" s="18">
        <f>F61/E61</f>
        <v>7309.888278145695</v>
      </c>
      <c r="H61" s="19">
        <v>-7.7990000000000004</v>
      </c>
      <c r="I61" s="19">
        <v>-35.93</v>
      </c>
      <c r="J61" s="20" t="s">
        <v>64</v>
      </c>
    </row>
    <row r="62" spans="2:10" ht="15" customHeight="1">
      <c r="B62" s="15">
        <v>51</v>
      </c>
      <c r="C62" s="15">
        <v>2616100</v>
      </c>
      <c r="D62" s="16" t="s">
        <v>73</v>
      </c>
      <c r="E62" s="17">
        <v>9170</v>
      </c>
      <c r="F62" s="18">
        <v>67004326.469999999</v>
      </c>
      <c r="G62" s="18">
        <f>F62/E62</f>
        <v>7306.9058309705561</v>
      </c>
      <c r="H62" s="19">
        <v>-8.0239999999999991</v>
      </c>
      <c r="I62" s="19">
        <v>-37.018000000000001</v>
      </c>
      <c r="J62" s="20" t="s">
        <v>64</v>
      </c>
    </row>
    <row r="63" spans="2:10" ht="15" customHeight="1">
      <c r="B63" s="15">
        <v>52</v>
      </c>
      <c r="C63" s="15">
        <v>2612406</v>
      </c>
      <c r="D63" s="16" t="s">
        <v>74</v>
      </c>
      <c r="E63" s="17">
        <v>18606</v>
      </c>
      <c r="F63" s="18">
        <v>135689643.15000001</v>
      </c>
      <c r="G63" s="18">
        <f>F63/E63</f>
        <v>7292.7895920670753</v>
      </c>
      <c r="H63" s="19">
        <v>-8.6999999999999993</v>
      </c>
      <c r="I63" s="19">
        <v>-36.64</v>
      </c>
      <c r="J63" s="20" t="s">
        <v>64</v>
      </c>
    </row>
    <row r="64" spans="2:10" ht="15" customHeight="1">
      <c r="B64" s="15">
        <v>53</v>
      </c>
      <c r="C64" s="15">
        <v>2614006</v>
      </c>
      <c r="D64" s="16" t="s">
        <v>75</v>
      </c>
      <c r="E64" s="17">
        <v>18204</v>
      </c>
      <c r="F64" s="18">
        <v>132735800.45999999</v>
      </c>
      <c r="G64" s="18">
        <f>F64/E64</f>
        <v>7291.573305866842</v>
      </c>
      <c r="H64" s="19">
        <v>-8.5210000000000008</v>
      </c>
      <c r="I64" s="19">
        <v>-35.264000000000003</v>
      </c>
      <c r="J64" s="20" t="s">
        <v>64</v>
      </c>
    </row>
    <row r="65" spans="2:10" ht="15" customHeight="1">
      <c r="B65" s="15">
        <v>54</v>
      </c>
      <c r="C65" s="15">
        <v>2614303</v>
      </c>
      <c r="D65" s="16" t="s">
        <v>76</v>
      </c>
      <c r="E65" s="17">
        <v>10503</v>
      </c>
      <c r="F65" s="18">
        <v>76493757.469999999</v>
      </c>
      <c r="G65" s="18">
        <f>F65/E65</f>
        <v>7283.0388907931065</v>
      </c>
      <c r="H65" s="19">
        <v>-9.1430000000000007</v>
      </c>
      <c r="I65" s="19">
        <v>-40.174999999999997</v>
      </c>
      <c r="J65" s="20" t="s">
        <v>64</v>
      </c>
    </row>
    <row r="66" spans="2:10" ht="15" customHeight="1">
      <c r="B66" s="15">
        <v>55</v>
      </c>
      <c r="C66" s="15">
        <v>2604304</v>
      </c>
      <c r="D66" s="16" t="s">
        <v>77</v>
      </c>
      <c r="E66" s="17">
        <v>10512</v>
      </c>
      <c r="F66" s="18">
        <v>76554004.599999994</v>
      </c>
      <c r="G66" s="18">
        <f>F66/E66</f>
        <v>7282.5346841704713</v>
      </c>
      <c r="H66" s="19">
        <v>-8.3620000000000001</v>
      </c>
      <c r="I66" s="19">
        <v>-35.466000000000001</v>
      </c>
      <c r="J66" s="20" t="s">
        <v>64</v>
      </c>
    </row>
    <row r="67" spans="2:10" ht="15" customHeight="1">
      <c r="B67" s="15">
        <v>56</v>
      </c>
      <c r="C67" s="15">
        <v>2613404</v>
      </c>
      <c r="D67" s="16" t="s">
        <v>78</v>
      </c>
      <c r="E67" s="17">
        <v>18802</v>
      </c>
      <c r="F67" s="18">
        <v>136533825.53999999</v>
      </c>
      <c r="G67" s="18">
        <f>F67/E67</f>
        <v>7261.6650111690242</v>
      </c>
      <c r="H67" s="19">
        <v>-9.0839999999999996</v>
      </c>
      <c r="I67" s="19">
        <v>-40.326000000000001</v>
      </c>
      <c r="J67" s="20" t="s">
        <v>64</v>
      </c>
    </row>
    <row r="68" spans="2:10" ht="15" customHeight="1">
      <c r="B68" s="15">
        <v>57</v>
      </c>
      <c r="C68" s="15">
        <v>2601300</v>
      </c>
      <c r="D68" s="16" t="s">
        <v>79</v>
      </c>
      <c r="E68" s="17">
        <v>12299</v>
      </c>
      <c r="F68" s="18">
        <v>88878137.159999996</v>
      </c>
      <c r="G68" s="18">
        <f>F68/E68</f>
        <v>7226.4523262053826</v>
      </c>
      <c r="H68" s="19">
        <v>-7.7140000000000004</v>
      </c>
      <c r="I68" s="19">
        <v>-35.295000000000002</v>
      </c>
      <c r="J68" s="20" t="s">
        <v>64</v>
      </c>
    </row>
    <row r="69" spans="2:10" ht="15" customHeight="1">
      <c r="B69" s="15">
        <v>58</v>
      </c>
      <c r="C69" s="15">
        <v>2611903</v>
      </c>
      <c r="D69" s="16" t="s">
        <v>80</v>
      </c>
      <c r="E69" s="17">
        <v>19905</v>
      </c>
      <c r="F69" s="18">
        <v>142770837.16</v>
      </c>
      <c r="G69" s="18">
        <f>F69/E69</f>
        <v>7172.6117638784226</v>
      </c>
      <c r="H69" s="19">
        <v>-7.8680000000000003</v>
      </c>
      <c r="I69" s="19">
        <v>-34.898000000000003</v>
      </c>
      <c r="J69" s="20" t="s">
        <v>64</v>
      </c>
    </row>
    <row r="70" spans="2:10" ht="15" customHeight="1">
      <c r="B70" s="15">
        <v>59</v>
      </c>
      <c r="C70" s="15">
        <v>2614709</v>
      </c>
      <c r="D70" s="16" t="s">
        <v>81</v>
      </c>
      <c r="E70" s="17">
        <v>13608</v>
      </c>
      <c r="F70" s="18">
        <v>97425558.319999993</v>
      </c>
      <c r="G70" s="18">
        <f>F70/E70</f>
        <v>7159.4325631981183</v>
      </c>
      <c r="H70" s="19">
        <v>-8.0839999999999996</v>
      </c>
      <c r="I70" s="19">
        <v>-36.594000000000001</v>
      </c>
      <c r="J70" s="20" t="s">
        <v>64</v>
      </c>
    </row>
    <row r="71" spans="2:10" ht="15" customHeight="1">
      <c r="B71" s="15">
        <v>60</v>
      </c>
      <c r="C71" s="15">
        <v>2604502</v>
      </c>
      <c r="D71" s="16" t="s">
        <v>82</v>
      </c>
      <c r="E71" s="17">
        <v>20494</v>
      </c>
      <c r="F71" s="18">
        <v>145044365.58000001</v>
      </c>
      <c r="G71" s="18">
        <f>F71/E71</f>
        <v>7077.4063423441012</v>
      </c>
      <c r="H71" s="19">
        <v>-8.01</v>
      </c>
      <c r="I71" s="19">
        <v>-36.685000000000002</v>
      </c>
      <c r="J71" s="20" t="s">
        <v>64</v>
      </c>
    </row>
    <row r="72" spans="2:10" ht="15" customHeight="1">
      <c r="B72" s="15">
        <v>61</v>
      </c>
      <c r="C72" s="15">
        <v>2600609</v>
      </c>
      <c r="D72" s="16" t="s">
        <v>83</v>
      </c>
      <c r="E72" s="17">
        <v>13256</v>
      </c>
      <c r="F72" s="18">
        <v>93815498.010000005</v>
      </c>
      <c r="G72" s="18">
        <f>F72/E72</f>
        <v>7077.2101697344606</v>
      </c>
      <c r="H72" s="19">
        <v>-7.5339999999999998</v>
      </c>
      <c r="I72" s="19">
        <v>-35.456000000000003</v>
      </c>
      <c r="J72" s="20" t="s">
        <v>64</v>
      </c>
    </row>
    <row r="73" spans="2:10" ht="15" customHeight="1">
      <c r="B73" s="15">
        <v>62</v>
      </c>
      <c r="C73" s="15">
        <v>2601607</v>
      </c>
      <c r="D73" s="16" t="s">
        <v>84</v>
      </c>
      <c r="E73" s="17">
        <v>18321</v>
      </c>
      <c r="F73" s="18">
        <v>128757405.83</v>
      </c>
      <c r="G73" s="18">
        <f>F73/E73</f>
        <v>7027.8590595491514</v>
      </c>
      <c r="H73" s="19">
        <v>-8.8219999999999992</v>
      </c>
      <c r="I73" s="19">
        <v>-36.491</v>
      </c>
      <c r="J73" s="20" t="s">
        <v>64</v>
      </c>
    </row>
    <row r="74" spans="2:10" ht="15" customHeight="1">
      <c r="B74" s="15">
        <v>63</v>
      </c>
      <c r="C74" s="15">
        <v>2611606</v>
      </c>
      <c r="D74" s="16" t="s">
        <v>85</v>
      </c>
      <c r="E74" s="17">
        <v>1494586</v>
      </c>
      <c r="F74" s="18">
        <v>10427894669.07</v>
      </c>
      <c r="G74" s="18">
        <f>F74/E74</f>
        <v>6977.1125041115065</v>
      </c>
      <c r="H74" s="19">
        <v>-8.282</v>
      </c>
      <c r="I74" s="19">
        <v>-37.58</v>
      </c>
      <c r="J74" s="20" t="s">
        <v>64</v>
      </c>
    </row>
    <row r="75" spans="2:10" ht="15" customHeight="1">
      <c r="B75" s="15">
        <v>64</v>
      </c>
      <c r="C75" s="15">
        <v>2611705</v>
      </c>
      <c r="D75" s="16" t="s">
        <v>86</v>
      </c>
      <c r="E75" s="17">
        <v>20307</v>
      </c>
      <c r="F75" s="18">
        <v>141291509.84</v>
      </c>
      <c r="G75" s="18">
        <f>F75/E75</f>
        <v>6957.7736662234702</v>
      </c>
      <c r="H75" s="19">
        <v>-9.02</v>
      </c>
      <c r="I75" s="19">
        <v>-38.537999999999997</v>
      </c>
      <c r="J75" s="20" t="s">
        <v>64</v>
      </c>
    </row>
    <row r="76" spans="2:10" ht="15" customHeight="1">
      <c r="B76" s="15">
        <v>65</v>
      </c>
      <c r="C76" s="15">
        <v>2600302</v>
      </c>
      <c r="D76" s="16" t="s">
        <v>87</v>
      </c>
      <c r="E76" s="17">
        <v>23739</v>
      </c>
      <c r="F76" s="18">
        <v>163116749.25999999</v>
      </c>
      <c r="G76" s="18">
        <f>F76/E76</f>
        <v>6871.2561295758032</v>
      </c>
      <c r="H76" s="19">
        <v>-8.2270000000000003</v>
      </c>
      <c r="I76" s="19">
        <v>-36.640999999999998</v>
      </c>
      <c r="J76" s="20" t="s">
        <v>64</v>
      </c>
    </row>
    <row r="77" spans="2:10" ht="15" customHeight="1">
      <c r="B77" s="15">
        <v>66</v>
      </c>
      <c r="C77" s="15">
        <v>2608503</v>
      </c>
      <c r="D77" s="16" t="s">
        <v>88</v>
      </c>
      <c r="E77" s="17">
        <v>18813</v>
      </c>
      <c r="F77" s="18">
        <v>128326743.06999999</v>
      </c>
      <c r="G77" s="18">
        <f>F77/E77</f>
        <v>6821.1738196991437</v>
      </c>
      <c r="H77" s="19">
        <v>-8.1539999999999999</v>
      </c>
      <c r="I77" s="19">
        <v>-36.052</v>
      </c>
      <c r="J77" s="20" t="s">
        <v>64</v>
      </c>
    </row>
    <row r="78" spans="2:10" ht="15" customHeight="1">
      <c r="B78" s="15">
        <v>67</v>
      </c>
      <c r="C78" s="15">
        <v>2605004</v>
      </c>
      <c r="D78" s="16" t="s">
        <v>89</v>
      </c>
      <c r="E78" s="17">
        <v>23474</v>
      </c>
      <c r="F78" s="18">
        <v>158497140.56999999</v>
      </c>
      <c r="G78" s="18">
        <f>F78/E78</f>
        <v>6752.0295037062278</v>
      </c>
      <c r="H78" s="19">
        <v>-7.8949999999999996</v>
      </c>
      <c r="I78" s="19">
        <v>-38.555</v>
      </c>
      <c r="J78" s="20" t="s">
        <v>64</v>
      </c>
    </row>
    <row r="79" spans="2:10" ht="15" customHeight="1">
      <c r="B79" s="15">
        <v>68</v>
      </c>
      <c r="C79" s="15">
        <v>2612000</v>
      </c>
      <c r="D79" s="16" t="s">
        <v>90</v>
      </c>
      <c r="E79" s="17">
        <v>10910</v>
      </c>
      <c r="F79" s="18">
        <v>73558394.739999995</v>
      </c>
      <c r="G79" s="18">
        <f>F79/E79</f>
        <v>6742.2909935838679</v>
      </c>
      <c r="H79" s="19">
        <v>-8.2170000000000005</v>
      </c>
      <c r="I79" s="19">
        <v>-36.148000000000003</v>
      </c>
      <c r="J79" s="20" t="s">
        <v>64</v>
      </c>
    </row>
    <row r="80" spans="2:10" ht="15" customHeight="1">
      <c r="B80" s="15">
        <v>69</v>
      </c>
      <c r="C80" s="15">
        <v>2607307</v>
      </c>
      <c r="D80" s="16" t="s">
        <v>91</v>
      </c>
      <c r="E80" s="17">
        <v>28838</v>
      </c>
      <c r="F80" s="18">
        <v>193257414.12</v>
      </c>
      <c r="G80" s="18">
        <f>F80/E80</f>
        <v>6701.4846424856096</v>
      </c>
      <c r="H80" s="19">
        <v>-7.9</v>
      </c>
      <c r="I80" s="19">
        <v>-40.503</v>
      </c>
      <c r="J80" s="20" t="s">
        <v>64</v>
      </c>
    </row>
    <row r="81" spans="2:10" ht="15" customHeight="1">
      <c r="B81" s="15">
        <v>70</v>
      </c>
      <c r="C81" s="15">
        <v>2610400</v>
      </c>
      <c r="D81" s="16" t="s">
        <v>92</v>
      </c>
      <c r="E81" s="17">
        <v>18563</v>
      </c>
      <c r="F81" s="18">
        <v>124268171.48</v>
      </c>
      <c r="G81" s="18">
        <f>F81/E81</f>
        <v>6694.4013079782362</v>
      </c>
      <c r="H81" s="19">
        <v>-7.8330000000000002</v>
      </c>
      <c r="I81" s="19">
        <v>-34.951000000000001</v>
      </c>
      <c r="J81" s="20" t="s">
        <v>64</v>
      </c>
    </row>
    <row r="82" spans="2:10" ht="15" customHeight="1">
      <c r="B82" s="15">
        <v>71</v>
      </c>
      <c r="C82" s="15">
        <v>2616001</v>
      </c>
      <c r="D82" s="16" t="s">
        <v>93</v>
      </c>
      <c r="E82" s="17">
        <v>17676</v>
      </c>
      <c r="F82" s="18">
        <v>116758293.2</v>
      </c>
      <c r="G82" s="18">
        <f>F82/E82</f>
        <v>6605.4703100248926</v>
      </c>
      <c r="H82" s="19">
        <v>-7.9690000000000003</v>
      </c>
      <c r="I82" s="19">
        <v>-37.43</v>
      </c>
      <c r="J82" s="20" t="s">
        <v>64</v>
      </c>
    </row>
    <row r="83" spans="2:10" ht="15" customHeight="1">
      <c r="B83" s="15">
        <v>72</v>
      </c>
      <c r="C83" s="15">
        <v>2602704</v>
      </c>
      <c r="D83" s="16" t="s">
        <v>94</v>
      </c>
      <c r="E83" s="17">
        <v>12818</v>
      </c>
      <c r="F83" s="18">
        <v>84380494.129999995</v>
      </c>
      <c r="G83" s="18">
        <f>F83/E83</f>
        <v>6582.9688040255887</v>
      </c>
      <c r="H83" s="19">
        <v>-8.4979999999999993</v>
      </c>
      <c r="I83" s="19">
        <v>-35.521000000000001</v>
      </c>
      <c r="J83" s="20" t="s">
        <v>64</v>
      </c>
    </row>
    <row r="84" spans="2:10" ht="15" customHeight="1">
      <c r="B84" s="15">
        <v>73</v>
      </c>
      <c r="C84" s="15">
        <v>2603306</v>
      </c>
      <c r="D84" s="16" t="s">
        <v>95</v>
      </c>
      <c r="E84" s="17">
        <v>11113</v>
      </c>
      <c r="F84" s="18">
        <v>73108658.859999999</v>
      </c>
      <c r="G84" s="18">
        <f>F84/E84</f>
        <v>6578.6609250427427</v>
      </c>
      <c r="H84" s="19">
        <v>-7.97</v>
      </c>
      <c r="I84" s="19">
        <v>-38.219000000000001</v>
      </c>
      <c r="J84" s="20" t="s">
        <v>64</v>
      </c>
    </row>
    <row r="85" spans="2:10" ht="15" customHeight="1">
      <c r="B85" s="15">
        <v>74</v>
      </c>
      <c r="C85" s="15">
        <v>2609006</v>
      </c>
      <c r="D85" s="16" t="s">
        <v>96</v>
      </c>
      <c r="E85" s="17">
        <v>23187</v>
      </c>
      <c r="F85" s="18">
        <v>152261116.28</v>
      </c>
      <c r="G85" s="18">
        <f>F85/E85</f>
        <v>6566.6587432613105</v>
      </c>
      <c r="H85" s="19">
        <v>-9.3949999999999996</v>
      </c>
      <c r="I85" s="19">
        <v>-40.502000000000002</v>
      </c>
      <c r="J85" s="20" t="s">
        <v>64</v>
      </c>
    </row>
    <row r="86" spans="2:10" ht="15" customHeight="1">
      <c r="B86" s="15">
        <v>75</v>
      </c>
      <c r="C86" s="15">
        <v>2611002</v>
      </c>
      <c r="D86" s="16" t="s">
        <v>97</v>
      </c>
      <c r="E86" s="17">
        <v>34302</v>
      </c>
      <c r="F86" s="18">
        <v>223339009.15000001</v>
      </c>
      <c r="G86" s="18">
        <f>F86/E86</f>
        <v>6510.9617267214744</v>
      </c>
      <c r="H86" s="19">
        <v>-8.8360000000000003</v>
      </c>
      <c r="I86" s="19">
        <v>-38.311</v>
      </c>
      <c r="J86" s="20" t="s">
        <v>64</v>
      </c>
    </row>
    <row r="87" spans="2:10" ht="15" customHeight="1">
      <c r="B87" s="15">
        <v>76</v>
      </c>
      <c r="C87" s="15">
        <v>2612703</v>
      </c>
      <c r="D87" s="16" t="s">
        <v>98</v>
      </c>
      <c r="E87" s="17">
        <v>13715</v>
      </c>
      <c r="F87" s="18">
        <v>89231726.040000007</v>
      </c>
      <c r="G87" s="18">
        <f>F87/E87</f>
        <v>6506.1411622311343</v>
      </c>
      <c r="H87" s="19">
        <v>-7.6139999999999999</v>
      </c>
      <c r="I87" s="19">
        <v>-35.78</v>
      </c>
      <c r="J87" s="20" t="s">
        <v>64</v>
      </c>
    </row>
    <row r="88" spans="2:10" ht="15" customHeight="1">
      <c r="B88" s="15">
        <v>77</v>
      </c>
      <c r="C88" s="15">
        <v>2608107</v>
      </c>
      <c r="D88" s="16" t="s">
        <v>99</v>
      </c>
      <c r="E88" s="17">
        <v>27710</v>
      </c>
      <c r="F88" s="18">
        <v>178693890.28999999</v>
      </c>
      <c r="G88" s="18">
        <f>F88/E88</f>
        <v>6448.7149148321905</v>
      </c>
      <c r="H88" s="19">
        <v>-8.2859999999999996</v>
      </c>
      <c r="I88" s="19">
        <v>-35.823</v>
      </c>
      <c r="J88" s="20" t="s">
        <v>64</v>
      </c>
    </row>
    <row r="89" spans="2:10" ht="15" customHeight="1">
      <c r="B89" s="15">
        <v>78</v>
      </c>
      <c r="C89" s="15">
        <v>2600401</v>
      </c>
      <c r="D89" s="16" t="s">
        <v>100</v>
      </c>
      <c r="E89" s="17">
        <v>26473</v>
      </c>
      <c r="F89" s="18">
        <v>169977569.03999999</v>
      </c>
      <c r="G89" s="18">
        <f>F89/E89</f>
        <v>6420.7898251048236</v>
      </c>
      <c r="H89" s="19">
        <v>-8.36</v>
      </c>
      <c r="I89" s="19">
        <v>-36.648000000000003</v>
      </c>
      <c r="J89" s="20" t="s">
        <v>64</v>
      </c>
    </row>
    <row r="90" spans="2:10" ht="15" customHeight="1">
      <c r="B90" s="15">
        <v>79</v>
      </c>
      <c r="C90" s="15">
        <v>2612604</v>
      </c>
      <c r="D90" s="16" t="s">
        <v>101</v>
      </c>
      <c r="E90" s="17">
        <v>40464</v>
      </c>
      <c r="F90" s="18">
        <v>259682075.46000001</v>
      </c>
      <c r="G90" s="18">
        <f>F90/E90</f>
        <v>6417.6076379003562</v>
      </c>
      <c r="H90" s="19">
        <v>-8.02</v>
      </c>
      <c r="I90" s="19">
        <v>-38.593000000000004</v>
      </c>
      <c r="J90" s="20" t="s">
        <v>64</v>
      </c>
    </row>
    <row r="91" spans="2:10" ht="15" customHeight="1">
      <c r="B91" s="15">
        <v>80</v>
      </c>
      <c r="C91" s="15">
        <v>2613206</v>
      </c>
      <c r="D91" s="16" t="s">
        <v>102</v>
      </c>
      <c r="E91" s="17">
        <v>23411</v>
      </c>
      <c r="F91" s="18">
        <v>150137364.56999999</v>
      </c>
      <c r="G91" s="18">
        <f>F91/E91</f>
        <v>6413.1119802656867</v>
      </c>
      <c r="H91" s="19">
        <v>-8.0229999999999997</v>
      </c>
      <c r="I91" s="19">
        <v>-36.045999999999999</v>
      </c>
      <c r="J91" s="20" t="s">
        <v>64</v>
      </c>
    </row>
    <row r="92" spans="2:10" ht="15" customHeight="1">
      <c r="B92" s="15">
        <v>81</v>
      </c>
      <c r="C92" s="15">
        <v>2605608</v>
      </c>
      <c r="D92" s="16" t="s">
        <v>103</v>
      </c>
      <c r="E92" s="17">
        <v>20213</v>
      </c>
      <c r="F92" s="18">
        <v>129518769.23</v>
      </c>
      <c r="G92" s="18">
        <f>F92/E92</f>
        <v>6407.6964938405981</v>
      </c>
      <c r="H92" s="19">
        <v>-8.3559999999999999</v>
      </c>
      <c r="I92" s="19">
        <v>-36.456000000000003</v>
      </c>
      <c r="J92" s="20" t="s">
        <v>64</v>
      </c>
    </row>
    <row r="93" spans="2:10" ht="15" customHeight="1">
      <c r="B93" s="15">
        <v>82</v>
      </c>
      <c r="C93" s="15">
        <v>2608206</v>
      </c>
      <c r="D93" s="16" t="s">
        <v>104</v>
      </c>
      <c r="E93" s="17">
        <v>13099</v>
      </c>
      <c r="F93" s="18">
        <v>83583329.329999998</v>
      </c>
      <c r="G93" s="18">
        <f>F93/E93</f>
        <v>6380.8939102221539</v>
      </c>
      <c r="H93" s="19">
        <v>-7.8789999999999996</v>
      </c>
      <c r="I93" s="19">
        <v>-37.802999999999997</v>
      </c>
      <c r="J93" s="20" t="s">
        <v>64</v>
      </c>
    </row>
    <row r="94" spans="2:10" ht="15" customHeight="1">
      <c r="B94" s="21">
        <v>83</v>
      </c>
      <c r="C94" s="21">
        <v>2613305</v>
      </c>
      <c r="D94" s="22" t="s">
        <v>105</v>
      </c>
      <c r="E94" s="23">
        <v>20098</v>
      </c>
      <c r="F94" s="24">
        <v>128027564.86</v>
      </c>
      <c r="G94" s="24">
        <f>F94/E94</f>
        <v>6370.1644372574383</v>
      </c>
      <c r="H94" s="25">
        <v>-7.8920000000000003</v>
      </c>
      <c r="I94" s="25">
        <v>-36.399000000000001</v>
      </c>
      <c r="J94" s="26" t="s">
        <v>106</v>
      </c>
    </row>
    <row r="95" spans="2:10" ht="15" customHeight="1">
      <c r="B95" s="21">
        <v>84</v>
      </c>
      <c r="C95" s="21">
        <v>2603009</v>
      </c>
      <c r="D95" s="22" t="s">
        <v>107</v>
      </c>
      <c r="E95" s="23">
        <v>30695</v>
      </c>
      <c r="F95" s="24">
        <v>195061987.22999999</v>
      </c>
      <c r="G95" s="24">
        <f>F95/E95</f>
        <v>6354.8456501058799</v>
      </c>
      <c r="H95" s="25">
        <v>-7.7409999999999997</v>
      </c>
      <c r="I95" s="25">
        <v>-35.152000000000001</v>
      </c>
      <c r="J95" s="26" t="s">
        <v>106</v>
      </c>
    </row>
    <row r="96" spans="2:10" ht="15" customHeight="1">
      <c r="B96" s="21">
        <v>85</v>
      </c>
      <c r="C96" s="21">
        <v>2611507</v>
      </c>
      <c r="D96" s="22" t="s">
        <v>108</v>
      </c>
      <c r="E96" s="23">
        <v>17873</v>
      </c>
      <c r="F96" s="24">
        <v>112640129.93000001</v>
      </c>
      <c r="G96" s="24">
        <f>F96/E96</f>
        <v>6302.2508773009567</v>
      </c>
      <c r="H96" s="25">
        <v>-7.8609999999999998</v>
      </c>
      <c r="I96" s="25">
        <v>-38.311</v>
      </c>
      <c r="J96" s="26" t="s">
        <v>106</v>
      </c>
    </row>
    <row r="97" spans="2:10" ht="15" customHeight="1">
      <c r="B97" s="21">
        <v>86</v>
      </c>
      <c r="C97" s="21">
        <v>2610004</v>
      </c>
      <c r="D97" s="22" t="s">
        <v>109</v>
      </c>
      <c r="E97" s="23">
        <v>53987</v>
      </c>
      <c r="F97" s="24">
        <v>337707409.06</v>
      </c>
      <c r="G97" s="24">
        <f>F97/E97</f>
        <v>6255.3468253468427</v>
      </c>
      <c r="H97" s="25">
        <v>-7.96</v>
      </c>
      <c r="I97" s="25">
        <v>-34.951000000000001</v>
      </c>
      <c r="J97" s="26" t="s">
        <v>106</v>
      </c>
    </row>
    <row r="98" spans="2:10" ht="15" customHeight="1">
      <c r="B98" s="21">
        <v>87</v>
      </c>
      <c r="C98" s="21">
        <v>2604700</v>
      </c>
      <c r="D98" s="22" t="s">
        <v>110</v>
      </c>
      <c r="E98" s="23">
        <v>17153</v>
      </c>
      <c r="F98" s="24">
        <v>107144148.75</v>
      </c>
      <c r="G98" s="24">
        <f>F98/E98</f>
        <v>6246.3795691715732</v>
      </c>
      <c r="H98" s="25">
        <v>-8.3580000000000005</v>
      </c>
      <c r="I98" s="25">
        <v>-38.298999999999999</v>
      </c>
      <c r="J98" s="26" t="s">
        <v>106</v>
      </c>
    </row>
    <row r="99" spans="2:10" ht="15" customHeight="1">
      <c r="B99" s="21">
        <v>88</v>
      </c>
      <c r="C99" s="21">
        <v>2602209</v>
      </c>
      <c r="D99" s="22" t="s">
        <v>111</v>
      </c>
      <c r="E99" s="23">
        <v>37190</v>
      </c>
      <c r="F99" s="24">
        <v>231244398.34999999</v>
      </c>
      <c r="G99" s="24">
        <f>F99/E99</f>
        <v>6217.9187510083357</v>
      </c>
      <c r="H99" s="25">
        <v>-7.7839999999999998</v>
      </c>
      <c r="I99" s="25">
        <v>-35.584000000000003</v>
      </c>
      <c r="J99" s="26" t="s">
        <v>106</v>
      </c>
    </row>
    <row r="100" spans="2:10" ht="15" customHeight="1">
      <c r="B100" s="21">
        <v>89</v>
      </c>
      <c r="C100" s="21">
        <v>2611408</v>
      </c>
      <c r="D100" s="22" t="s">
        <v>112</v>
      </c>
      <c r="E100" s="23">
        <v>13536</v>
      </c>
      <c r="F100" s="24">
        <v>83978155.790000007</v>
      </c>
      <c r="G100" s="24">
        <f>F100/E100</f>
        <v>6204.0599726654855</v>
      </c>
      <c r="H100" s="25">
        <v>-8.1859999999999999</v>
      </c>
      <c r="I100" s="25">
        <v>-36.344000000000001</v>
      </c>
      <c r="J100" s="26" t="s">
        <v>106</v>
      </c>
    </row>
    <row r="101" spans="2:10" ht="15" customHeight="1">
      <c r="B101" s="21">
        <v>90</v>
      </c>
      <c r="C101" s="21">
        <v>2613602</v>
      </c>
      <c r="D101" s="22" t="s">
        <v>113</v>
      </c>
      <c r="E101" s="23">
        <v>31154</v>
      </c>
      <c r="F101" s="24">
        <v>192836144.15000001</v>
      </c>
      <c r="G101" s="24">
        <f>F101/E101</f>
        <v>6189.7715911279456</v>
      </c>
      <c r="H101" s="25">
        <v>-7.9829999999999997</v>
      </c>
      <c r="I101" s="25">
        <v>-38.088999999999999</v>
      </c>
      <c r="J101" s="26" t="s">
        <v>106</v>
      </c>
    </row>
    <row r="102" spans="2:10" ht="15" customHeight="1">
      <c r="B102" s="21">
        <v>91</v>
      </c>
      <c r="C102" s="21">
        <v>2603504</v>
      </c>
      <c r="D102" s="22" t="s">
        <v>114</v>
      </c>
      <c r="E102" s="23">
        <v>17362</v>
      </c>
      <c r="F102" s="24">
        <v>107408548.31</v>
      </c>
      <c r="G102" s="24">
        <f>F102/E102</f>
        <v>6186.4156381753255</v>
      </c>
      <c r="H102" s="25">
        <v>-7.9870000000000001</v>
      </c>
      <c r="I102" s="25">
        <v>-36.488999999999997</v>
      </c>
      <c r="J102" s="26" t="s">
        <v>106</v>
      </c>
    </row>
    <row r="103" spans="2:10" ht="15" customHeight="1">
      <c r="B103" s="21">
        <v>92</v>
      </c>
      <c r="C103" s="21">
        <v>2603702</v>
      </c>
      <c r="D103" s="22" t="s">
        <v>115</v>
      </c>
      <c r="E103" s="23">
        <v>24340</v>
      </c>
      <c r="F103" s="24">
        <v>150170778.41999999</v>
      </c>
      <c r="G103" s="24">
        <f>F103/E103</f>
        <v>6169.711520953163</v>
      </c>
      <c r="H103" s="25">
        <v>-8.2759999999999998</v>
      </c>
      <c r="I103" s="25">
        <v>-35.975999999999999</v>
      </c>
      <c r="J103" s="26" t="s">
        <v>106</v>
      </c>
    </row>
    <row r="104" spans="2:10" ht="15" customHeight="1">
      <c r="B104" s="21">
        <v>93</v>
      </c>
      <c r="C104" s="21">
        <v>2616308</v>
      </c>
      <c r="D104" s="22" t="s">
        <v>116</v>
      </c>
      <c r="E104" s="23">
        <v>26254</v>
      </c>
      <c r="F104" s="24">
        <v>161545057.08000001</v>
      </c>
      <c r="G104" s="24">
        <f>F104/E104</f>
        <v>6153.1597882227479</v>
      </c>
      <c r="H104" s="25">
        <v>-8.6940000000000008</v>
      </c>
      <c r="I104" s="25">
        <v>-35.985999999999997</v>
      </c>
      <c r="J104" s="26" t="s">
        <v>106</v>
      </c>
    </row>
    <row r="105" spans="2:10" ht="15" customHeight="1">
      <c r="B105" s="21">
        <v>94</v>
      </c>
      <c r="C105" s="21">
        <v>2614808</v>
      </c>
      <c r="D105" s="22" t="s">
        <v>117</v>
      </c>
      <c r="E105" s="23">
        <v>23166</v>
      </c>
      <c r="F105" s="24">
        <v>141075242.97</v>
      </c>
      <c r="G105" s="24">
        <f>F105/E105</f>
        <v>6089.7540779590781</v>
      </c>
      <c r="H105" s="25">
        <v>-8.2170000000000005</v>
      </c>
      <c r="I105" s="25">
        <v>-36.636000000000003</v>
      </c>
      <c r="J105" s="26" t="s">
        <v>106</v>
      </c>
    </row>
    <row r="106" spans="2:10" ht="15" customHeight="1">
      <c r="B106" s="21">
        <v>95</v>
      </c>
      <c r="C106" s="21">
        <v>2603207</v>
      </c>
      <c r="D106" s="22" t="s">
        <v>118</v>
      </c>
      <c r="E106" s="23">
        <v>28848</v>
      </c>
      <c r="F106" s="24">
        <v>174798578.06</v>
      </c>
      <c r="G106" s="24">
        <f>F106/E106</f>
        <v>6059.2962444536888</v>
      </c>
      <c r="H106" s="25">
        <v>-7.87</v>
      </c>
      <c r="I106" s="25">
        <v>-37.326000000000001</v>
      </c>
      <c r="J106" s="26" t="s">
        <v>106</v>
      </c>
    </row>
    <row r="107" spans="2:10" ht="15" customHeight="1">
      <c r="B107" s="21">
        <v>96</v>
      </c>
      <c r="C107" s="21">
        <v>2608800</v>
      </c>
      <c r="D107" s="22" t="s">
        <v>119</v>
      </c>
      <c r="E107" s="23">
        <v>39436</v>
      </c>
      <c r="F107" s="24">
        <v>236459874.05000001</v>
      </c>
      <c r="G107" s="24">
        <f>F107/E107</f>
        <v>5996.0410297697535</v>
      </c>
      <c r="H107" s="25">
        <v>-8.5229999999999997</v>
      </c>
      <c r="I107" s="25">
        <v>-36.917999999999999</v>
      </c>
      <c r="J107" s="26" t="s">
        <v>106</v>
      </c>
    </row>
    <row r="108" spans="2:10" ht="15" customHeight="1">
      <c r="B108" s="21">
        <v>97</v>
      </c>
      <c r="C108" s="21">
        <v>2605301</v>
      </c>
      <c r="D108" s="22" t="s">
        <v>120</v>
      </c>
      <c r="E108" s="23">
        <v>31803</v>
      </c>
      <c r="F108" s="24">
        <v>190536997.25</v>
      </c>
      <c r="G108" s="24">
        <f>F108/E108</f>
        <v>5991.1642690941108</v>
      </c>
      <c r="H108" s="25">
        <v>-7.7</v>
      </c>
      <c r="I108" s="25">
        <v>-35.207000000000001</v>
      </c>
      <c r="J108" s="26" t="s">
        <v>106</v>
      </c>
    </row>
    <row r="109" spans="2:10" ht="15" customHeight="1">
      <c r="B109" s="21">
        <v>98</v>
      </c>
      <c r="C109" s="21">
        <v>2600906</v>
      </c>
      <c r="D109" s="22" t="s">
        <v>121</v>
      </c>
      <c r="E109" s="23">
        <v>18236</v>
      </c>
      <c r="F109" s="24">
        <v>108631997.33</v>
      </c>
      <c r="G109" s="24">
        <f>F109/E109</f>
        <v>5957.0079694011847</v>
      </c>
      <c r="H109" s="25">
        <v>-8.2889999999999997</v>
      </c>
      <c r="I109" s="25">
        <v>-37.076000000000001</v>
      </c>
      <c r="J109" s="26" t="s">
        <v>106</v>
      </c>
    </row>
    <row r="110" spans="2:10" ht="15" customHeight="1">
      <c r="B110" s="21">
        <v>99</v>
      </c>
      <c r="C110" s="21">
        <v>2614105</v>
      </c>
      <c r="D110" s="22" t="s">
        <v>122</v>
      </c>
      <c r="E110" s="23">
        <v>31593</v>
      </c>
      <c r="F110" s="24">
        <v>187743278.86000001</v>
      </c>
      <c r="G110" s="24">
        <f>F110/E110</f>
        <v>5942.5593916373882</v>
      </c>
      <c r="H110" s="25">
        <v>-7.9969999999999999</v>
      </c>
      <c r="I110" s="25">
        <v>-35.643999999999998</v>
      </c>
      <c r="J110" s="26" t="s">
        <v>106</v>
      </c>
    </row>
    <row r="111" spans="2:10" ht="15" customHeight="1">
      <c r="B111" s="21">
        <v>100</v>
      </c>
      <c r="C111" s="21">
        <v>2605400</v>
      </c>
      <c r="D111" s="22" t="s">
        <v>123</v>
      </c>
      <c r="E111" s="23">
        <v>21362</v>
      </c>
      <c r="F111" s="24">
        <v>126530325.39</v>
      </c>
      <c r="G111" s="24">
        <f>F111/E111</f>
        <v>5923.1497701526077</v>
      </c>
      <c r="H111" s="25">
        <v>-8.0760000000000005</v>
      </c>
      <c r="I111" s="25">
        <v>-38.319000000000003</v>
      </c>
      <c r="J111" s="26" t="s">
        <v>106</v>
      </c>
    </row>
    <row r="112" spans="2:10" ht="15" customHeight="1">
      <c r="B112" s="21">
        <v>101</v>
      </c>
      <c r="C112" s="21">
        <v>2615409</v>
      </c>
      <c r="D112" s="22" t="s">
        <v>124</v>
      </c>
      <c r="E112" s="23">
        <v>40375</v>
      </c>
      <c r="F112" s="24">
        <v>238854405.96000001</v>
      </c>
      <c r="G112" s="24">
        <f>F112/E112</f>
        <v>5915.8985996284828</v>
      </c>
      <c r="H112" s="25">
        <v>-8.4979999999999993</v>
      </c>
      <c r="I112" s="25">
        <v>-37.182000000000002</v>
      </c>
      <c r="J112" s="26" t="s">
        <v>106</v>
      </c>
    </row>
    <row r="113" spans="2:10" ht="15" customHeight="1">
      <c r="B113" s="21">
        <v>102</v>
      </c>
      <c r="C113" s="21">
        <v>2614204</v>
      </c>
      <c r="D113" s="22" t="s">
        <v>125</v>
      </c>
      <c r="E113" s="23">
        <v>37503</v>
      </c>
      <c r="F113" s="24">
        <v>220397813.43000001</v>
      </c>
      <c r="G113" s="24">
        <f>F113/E113</f>
        <v>5876.804880409567</v>
      </c>
      <c r="H113" s="25">
        <v>-8.49</v>
      </c>
      <c r="I113" s="25">
        <v>-35.414000000000001</v>
      </c>
      <c r="J113" s="26" t="s">
        <v>106</v>
      </c>
    </row>
    <row r="114" spans="2:10" ht="15" customHeight="1">
      <c r="B114" s="21">
        <v>103</v>
      </c>
      <c r="C114" s="21">
        <v>2607604</v>
      </c>
      <c r="D114" s="22" t="s">
        <v>126</v>
      </c>
      <c r="E114" s="23">
        <v>22879</v>
      </c>
      <c r="F114" s="24">
        <v>134225428.31999999</v>
      </c>
      <c r="G114" s="24">
        <f>F114/E114</f>
        <v>5866.7524070107957</v>
      </c>
      <c r="H114" s="25">
        <v>-7.7510000000000003</v>
      </c>
      <c r="I114" s="25">
        <v>-35.728000000000002</v>
      </c>
      <c r="J114" s="26" t="s">
        <v>106</v>
      </c>
    </row>
    <row r="115" spans="2:10" ht="15" customHeight="1">
      <c r="B115" s="21">
        <v>104</v>
      </c>
      <c r="C115" s="21">
        <v>2600708</v>
      </c>
      <c r="D115" s="22" t="s">
        <v>127</v>
      </c>
      <c r="E115" s="23">
        <v>35245</v>
      </c>
      <c r="F115" s="24">
        <v>205914612.53999999</v>
      </c>
      <c r="G115" s="24">
        <f>F115/E115</f>
        <v>5842.3779980139025</v>
      </c>
      <c r="H115" s="25">
        <v>-7.8449999999999998</v>
      </c>
      <c r="I115" s="25">
        <v>-36.661000000000001</v>
      </c>
      <c r="J115" s="26" t="s">
        <v>106</v>
      </c>
    </row>
    <row r="116" spans="2:10" ht="15" customHeight="1">
      <c r="B116" s="21">
        <v>105</v>
      </c>
      <c r="C116" s="21">
        <v>2606101</v>
      </c>
      <c r="D116" s="22" t="s">
        <v>128</v>
      </c>
      <c r="E116" s="23">
        <v>29123</v>
      </c>
      <c r="F116" s="24">
        <v>169509457.66999999</v>
      </c>
      <c r="G116" s="24">
        <f>F116/E116</f>
        <v>5820.4669048518344</v>
      </c>
      <c r="H116" s="25">
        <v>-7.8869999999999996</v>
      </c>
      <c r="I116" s="25">
        <v>-35.488</v>
      </c>
      <c r="J116" s="26" t="s">
        <v>106</v>
      </c>
    </row>
    <row r="117" spans="2:10" ht="15" customHeight="1">
      <c r="B117" s="21">
        <v>106</v>
      </c>
      <c r="C117" s="21">
        <v>2616209</v>
      </c>
      <c r="D117" s="22" t="s">
        <v>129</v>
      </c>
      <c r="E117" s="23">
        <v>21393</v>
      </c>
      <c r="F117" s="24">
        <v>124186293.58</v>
      </c>
      <c r="G117" s="24">
        <f>F117/E117</f>
        <v>5804.9966615247977</v>
      </c>
      <c r="H117" s="25">
        <v>-8.0220000000000002</v>
      </c>
      <c r="I117" s="25">
        <v>-35.987000000000002</v>
      </c>
      <c r="J117" s="26" t="s">
        <v>106</v>
      </c>
    </row>
    <row r="118" spans="2:10" ht="15" customHeight="1">
      <c r="B118" s="21">
        <v>107</v>
      </c>
      <c r="C118" s="21">
        <v>2611804</v>
      </c>
      <c r="D118" s="22" t="s">
        <v>130</v>
      </c>
      <c r="E118" s="23">
        <v>33484</v>
      </c>
      <c r="F118" s="24">
        <v>194298545.21000001</v>
      </c>
      <c r="G118" s="24">
        <f>F118/E118</f>
        <v>5802.7280256241793</v>
      </c>
      <c r="H118" s="25">
        <v>-7.9740000000000002</v>
      </c>
      <c r="I118" s="25">
        <v>-37.585000000000001</v>
      </c>
      <c r="J118" s="26" t="s">
        <v>106</v>
      </c>
    </row>
    <row r="119" spans="2:10" ht="15" customHeight="1">
      <c r="B119" s="21">
        <v>108</v>
      </c>
      <c r="C119" s="21">
        <v>2615607</v>
      </c>
      <c r="D119" s="22" t="s">
        <v>131</v>
      </c>
      <c r="E119" s="23">
        <v>30231</v>
      </c>
      <c r="F119" s="24">
        <v>174750841.97</v>
      </c>
      <c r="G119" s="24">
        <f>F119/E119</f>
        <v>5780.5180764777879</v>
      </c>
      <c r="H119" s="25">
        <v>-7.7439999999999998</v>
      </c>
      <c r="I119" s="25">
        <v>-36.893000000000001</v>
      </c>
      <c r="J119" s="26" t="s">
        <v>106</v>
      </c>
    </row>
    <row r="120" spans="2:10" ht="15" customHeight="1">
      <c r="B120" s="21">
        <v>109</v>
      </c>
      <c r="C120" s="21">
        <v>2600104</v>
      </c>
      <c r="D120" s="22" t="s">
        <v>132</v>
      </c>
      <c r="E120" s="23">
        <v>40120</v>
      </c>
      <c r="F120" s="24">
        <v>231776856.53</v>
      </c>
      <c r="G120" s="24">
        <f>F120/E120</f>
        <v>5777.0901428215357</v>
      </c>
      <c r="H120" s="25">
        <v>-8.8759999999999994</v>
      </c>
      <c r="I120" s="25">
        <v>-36.341999999999999</v>
      </c>
      <c r="J120" s="26" t="s">
        <v>106</v>
      </c>
    </row>
    <row r="121" spans="2:10" ht="15" customHeight="1">
      <c r="B121" s="21">
        <v>110</v>
      </c>
      <c r="C121" s="21">
        <v>2605707</v>
      </c>
      <c r="D121" s="22" t="s">
        <v>133</v>
      </c>
      <c r="E121" s="23">
        <v>30110</v>
      </c>
      <c r="F121" s="24">
        <v>173012275.93000001</v>
      </c>
      <c r="G121" s="24">
        <f>F121/E121</f>
        <v>5746.0071713716379</v>
      </c>
      <c r="H121" s="25">
        <v>-8.1519999999999992</v>
      </c>
      <c r="I121" s="25">
        <v>-35.302</v>
      </c>
      <c r="J121" s="26" t="s">
        <v>106</v>
      </c>
    </row>
    <row r="122" spans="2:10" ht="15" customHeight="1">
      <c r="B122" s="21">
        <v>111</v>
      </c>
      <c r="C122" s="21">
        <v>2610608</v>
      </c>
      <c r="D122" s="22" t="s">
        <v>134</v>
      </c>
      <c r="E122" s="23">
        <v>55072</v>
      </c>
      <c r="F122" s="24">
        <v>316201042.88</v>
      </c>
      <c r="G122" s="24">
        <f>F122/E122</f>
        <v>5741.5936025566534</v>
      </c>
      <c r="H122" s="25">
        <v>-8.18</v>
      </c>
      <c r="I122" s="25">
        <v>-35.426000000000002</v>
      </c>
      <c r="J122" s="26" t="s">
        <v>106</v>
      </c>
    </row>
    <row r="123" spans="2:10" ht="15" customHeight="1">
      <c r="B123" s="21">
        <v>112</v>
      </c>
      <c r="C123" s="21">
        <v>2606606</v>
      </c>
      <c r="D123" s="22" t="s">
        <v>135</v>
      </c>
      <c r="E123" s="23">
        <v>27406</v>
      </c>
      <c r="F123" s="24">
        <v>155280118.84999999</v>
      </c>
      <c r="G123" s="24">
        <f>F123/E123</f>
        <v>5665.9169105305409</v>
      </c>
      <c r="H123" s="25">
        <v>-8.5269999999999992</v>
      </c>
      <c r="I123" s="25">
        <v>-37.697000000000003</v>
      </c>
      <c r="J123" s="26" t="s">
        <v>106</v>
      </c>
    </row>
    <row r="124" spans="2:10" ht="15" customHeight="1">
      <c r="B124" s="21">
        <v>113</v>
      </c>
      <c r="C124" s="21">
        <v>2603108</v>
      </c>
      <c r="D124" s="22" t="s">
        <v>136</v>
      </c>
      <c r="E124" s="23">
        <v>19789</v>
      </c>
      <c r="F124" s="24">
        <v>112067999.86</v>
      </c>
      <c r="G124" s="24">
        <f>F124/E124</f>
        <v>5663.1461852544344</v>
      </c>
      <c r="H124" s="25">
        <v>-8.67</v>
      </c>
      <c r="I124" s="25">
        <v>-36.084000000000003</v>
      </c>
      <c r="J124" s="26" t="s">
        <v>106</v>
      </c>
    </row>
    <row r="125" spans="2:10" ht="15" customHeight="1">
      <c r="B125" s="21">
        <v>114</v>
      </c>
      <c r="C125" s="21">
        <v>2614600</v>
      </c>
      <c r="D125" s="22" t="s">
        <v>137</v>
      </c>
      <c r="E125" s="23">
        <v>27505</v>
      </c>
      <c r="F125" s="24">
        <v>155471182.08000001</v>
      </c>
      <c r="G125" s="24">
        <f>F125/E125</f>
        <v>5652.4698083984731</v>
      </c>
      <c r="H125" s="25">
        <v>-8.19</v>
      </c>
      <c r="I125" s="25">
        <v>-37.341999999999999</v>
      </c>
      <c r="J125" s="26" t="s">
        <v>106</v>
      </c>
    </row>
    <row r="126" spans="2:10" ht="15" customHeight="1">
      <c r="B126" s="21">
        <v>115</v>
      </c>
      <c r="C126" s="21">
        <v>2615003</v>
      </c>
      <c r="D126" s="22" t="s">
        <v>138</v>
      </c>
      <c r="E126" s="23">
        <v>24335</v>
      </c>
      <c r="F126" s="24">
        <v>137467302</v>
      </c>
      <c r="G126" s="24">
        <f>F126/E126</f>
        <v>5648.9542634066156</v>
      </c>
      <c r="H126" s="25">
        <v>-8.3520000000000003</v>
      </c>
      <c r="I126" s="25">
        <v>-36.213999999999999</v>
      </c>
      <c r="J126" s="26" t="s">
        <v>106</v>
      </c>
    </row>
    <row r="127" spans="2:10" ht="15" customHeight="1">
      <c r="B127" s="21">
        <v>116</v>
      </c>
      <c r="C127" s="21">
        <v>2612505</v>
      </c>
      <c r="D127" s="22" t="s">
        <v>139</v>
      </c>
      <c r="E127" s="23">
        <v>97386</v>
      </c>
      <c r="F127" s="24">
        <v>543350287.05999994</v>
      </c>
      <c r="G127" s="24">
        <f>F127/E127</f>
        <v>5579.3470012116723</v>
      </c>
      <c r="H127" s="25">
        <v>-8.0459999999999994</v>
      </c>
      <c r="I127" s="25">
        <v>-37.835999999999999</v>
      </c>
      <c r="J127" s="26" t="s">
        <v>106</v>
      </c>
    </row>
    <row r="128" spans="2:10" ht="15" customHeight="1">
      <c r="B128" s="21">
        <v>117</v>
      </c>
      <c r="C128" s="21">
        <v>2600807</v>
      </c>
      <c r="D128" s="22" t="s">
        <v>140</v>
      </c>
      <c r="E128" s="23">
        <v>20657</v>
      </c>
      <c r="F128" s="24">
        <v>114934188.65000001</v>
      </c>
      <c r="G128" s="24">
        <f>F128/E128</f>
        <v>5563.9341942198771</v>
      </c>
      <c r="H128" s="25">
        <v>-8.07</v>
      </c>
      <c r="I128" s="25">
        <v>-37.057000000000002</v>
      </c>
      <c r="J128" s="26" t="s">
        <v>106</v>
      </c>
    </row>
    <row r="129" spans="2:10" ht="15" customHeight="1">
      <c r="B129" s="21">
        <v>118</v>
      </c>
      <c r="C129" s="21">
        <v>2601706</v>
      </c>
      <c r="D129" s="22" t="s">
        <v>141</v>
      </c>
      <c r="E129" s="23">
        <v>79143</v>
      </c>
      <c r="F129" s="24">
        <v>438933542.42000002</v>
      </c>
      <c r="G129" s="24">
        <f>F129/E129</f>
        <v>5546.0816802496747</v>
      </c>
      <c r="H129" s="25">
        <v>-9.15</v>
      </c>
      <c r="I129" s="25">
        <v>-40.487000000000002</v>
      </c>
      <c r="J129" s="26" t="s">
        <v>106</v>
      </c>
    </row>
    <row r="130" spans="2:10" ht="15" customHeight="1">
      <c r="B130" s="21">
        <v>119</v>
      </c>
      <c r="C130" s="21">
        <v>2601409</v>
      </c>
      <c r="D130" s="22" t="s">
        <v>142</v>
      </c>
      <c r="E130" s="23">
        <v>39993</v>
      </c>
      <c r="F130" s="24">
        <v>221688408.65000001</v>
      </c>
      <c r="G130" s="24">
        <f>F130/E130</f>
        <v>5543.1802727977401</v>
      </c>
      <c r="H130" s="25">
        <v>-8.5030000000000001</v>
      </c>
      <c r="I130" s="25">
        <v>-37.997999999999998</v>
      </c>
      <c r="J130" s="26" t="s">
        <v>106</v>
      </c>
    </row>
    <row r="131" spans="2:10" ht="15" customHeight="1">
      <c r="B131" s="21">
        <v>120</v>
      </c>
      <c r="C131" s="21">
        <v>2607505</v>
      </c>
      <c r="D131" s="22" t="s">
        <v>143</v>
      </c>
      <c r="E131" s="23">
        <v>33498</v>
      </c>
      <c r="F131" s="24">
        <v>185426035.69999999</v>
      </c>
      <c r="G131" s="24">
        <f>F131/E131</f>
        <v>5535.4360170756463</v>
      </c>
      <c r="H131" s="25">
        <v>-7.6120000000000001</v>
      </c>
      <c r="I131" s="25">
        <v>-36.084000000000003</v>
      </c>
      <c r="J131" s="26" t="s">
        <v>106</v>
      </c>
    </row>
    <row r="132" spans="2:10" ht="15" customHeight="1">
      <c r="B132" s="21">
        <v>121</v>
      </c>
      <c r="C132" s="21">
        <v>2615300</v>
      </c>
      <c r="D132" s="22" t="s">
        <v>144</v>
      </c>
      <c r="E132" s="23">
        <v>46004</v>
      </c>
      <c r="F132" s="24">
        <v>253958636.12</v>
      </c>
      <c r="G132" s="24">
        <f>F132/E132</f>
        <v>5520.359884357882</v>
      </c>
      <c r="H132" s="25">
        <v>-8.0960000000000001</v>
      </c>
      <c r="I132" s="25">
        <v>-37.439</v>
      </c>
      <c r="J132" s="26" t="s">
        <v>106</v>
      </c>
    </row>
    <row r="133" spans="2:10" ht="15" customHeight="1">
      <c r="B133" s="21">
        <v>122</v>
      </c>
      <c r="C133" s="21">
        <v>2604601</v>
      </c>
      <c r="D133" s="22" t="s">
        <v>145</v>
      </c>
      <c r="E133" s="23">
        <v>24586</v>
      </c>
      <c r="F133" s="24">
        <v>135613124.97</v>
      </c>
      <c r="G133" s="24">
        <f>F133/E133</f>
        <v>5515.8677690555596</v>
      </c>
      <c r="H133" s="25">
        <v>-7.8659999999999997</v>
      </c>
      <c r="I133" s="25">
        <v>-38.097000000000001</v>
      </c>
      <c r="J133" s="26" t="s">
        <v>106</v>
      </c>
    </row>
    <row r="134" spans="2:10" ht="15" customHeight="1">
      <c r="B134" s="27">
        <v>123</v>
      </c>
      <c r="C134" s="27">
        <v>2602001</v>
      </c>
      <c r="D134" s="28" t="s">
        <v>146</v>
      </c>
      <c r="E134" s="29">
        <v>34469</v>
      </c>
      <c r="F134" s="30">
        <v>189525013.5</v>
      </c>
      <c r="G134" s="30">
        <f>F134/E134</f>
        <v>5498.4192607850537</v>
      </c>
      <c r="H134" s="31">
        <v>-7.61</v>
      </c>
      <c r="I134" s="31">
        <v>-35.636000000000003</v>
      </c>
      <c r="J134" s="32" t="s">
        <v>147</v>
      </c>
    </row>
    <row r="135" spans="2:10" ht="15" customHeight="1">
      <c r="B135" s="27">
        <v>124</v>
      </c>
      <c r="C135" s="27">
        <v>2605509</v>
      </c>
      <c r="D135" s="28" t="s">
        <v>148</v>
      </c>
      <c r="E135" s="29">
        <v>15040</v>
      </c>
      <c r="F135" s="30">
        <v>82547488.519999996</v>
      </c>
      <c r="G135" s="30">
        <f>F135/E135</f>
        <v>5488.52982180851</v>
      </c>
      <c r="H135" s="31">
        <v>-7.7619999999999996</v>
      </c>
      <c r="I135" s="31">
        <v>-35.363999999999997</v>
      </c>
      <c r="J135" s="32" t="s">
        <v>147</v>
      </c>
    </row>
    <row r="136" spans="2:10" ht="15" customHeight="1">
      <c r="B136" s="27">
        <v>125</v>
      </c>
      <c r="C136" s="27">
        <v>2612901</v>
      </c>
      <c r="D136" s="28" t="s">
        <v>149</v>
      </c>
      <c r="E136" s="29">
        <v>15605</v>
      </c>
      <c r="F136" s="30">
        <v>85421002.189999998</v>
      </c>
      <c r="G136" s="30">
        <f>F136/E136</f>
        <v>5473.9507971803905</v>
      </c>
      <c r="H136" s="31">
        <v>-8.3759999999999994</v>
      </c>
      <c r="I136" s="31">
        <v>-35.213999999999999</v>
      </c>
      <c r="J136" s="32" t="s">
        <v>147</v>
      </c>
    </row>
    <row r="137" spans="2:10" ht="15" customHeight="1">
      <c r="B137" s="27">
        <v>126</v>
      </c>
      <c r="C137" s="27">
        <v>2610509</v>
      </c>
      <c r="D137" s="28" t="s">
        <v>150</v>
      </c>
      <c r="E137" s="29">
        <v>28235</v>
      </c>
      <c r="F137" s="30">
        <v>154336855.96000001</v>
      </c>
      <c r="G137" s="30">
        <f>F137/E137</f>
        <v>5466.1539210200108</v>
      </c>
      <c r="H137" s="31">
        <v>-8.0709999999999997</v>
      </c>
      <c r="I137" s="31">
        <v>-35.508000000000003</v>
      </c>
      <c r="J137" s="32" t="s">
        <v>147</v>
      </c>
    </row>
    <row r="138" spans="2:10" ht="15" customHeight="1">
      <c r="B138" s="27">
        <v>127</v>
      </c>
      <c r="C138" s="27">
        <v>2604205</v>
      </c>
      <c r="D138" s="28" t="s">
        <v>151</v>
      </c>
      <c r="E138" s="29">
        <v>31975</v>
      </c>
      <c r="F138" s="30">
        <v>174227828.41</v>
      </c>
      <c r="G138" s="30">
        <f>F138/E138</f>
        <v>5448.8765726348711</v>
      </c>
      <c r="H138" s="31">
        <v>-8.6880000000000006</v>
      </c>
      <c r="I138" s="31">
        <v>-36.448</v>
      </c>
      <c r="J138" s="32" t="s">
        <v>147</v>
      </c>
    </row>
    <row r="139" spans="2:10" ht="15" customHeight="1">
      <c r="B139" s="27">
        <v>128</v>
      </c>
      <c r="C139" s="27">
        <v>2612208</v>
      </c>
      <c r="D139" s="28" t="s">
        <v>152</v>
      </c>
      <c r="E139" s="29">
        <v>62206</v>
      </c>
      <c r="F139" s="30">
        <v>338084273.89999998</v>
      </c>
      <c r="G139" s="30">
        <f>F139/E139</f>
        <v>5434.9142188856376</v>
      </c>
      <c r="H139" s="31">
        <v>-8.484</v>
      </c>
      <c r="I139" s="31">
        <v>-37.776000000000003</v>
      </c>
      <c r="J139" s="32" t="s">
        <v>147</v>
      </c>
    </row>
    <row r="140" spans="2:10" ht="15" customHeight="1">
      <c r="B140" s="27">
        <v>129</v>
      </c>
      <c r="C140" s="27">
        <v>2602803</v>
      </c>
      <c r="D140" s="28" t="s">
        <v>153</v>
      </c>
      <c r="E140" s="29">
        <v>49786</v>
      </c>
      <c r="F140" s="30">
        <v>269346213.94999999</v>
      </c>
      <c r="G140" s="30">
        <f>F140/E140</f>
        <v>5410.0794189129474</v>
      </c>
      <c r="H140" s="31">
        <v>-7.82</v>
      </c>
      <c r="I140" s="31">
        <v>-35.121000000000002</v>
      </c>
      <c r="J140" s="32" t="s">
        <v>147</v>
      </c>
    </row>
    <row r="141" spans="2:10" ht="15" customHeight="1">
      <c r="B141" s="27">
        <v>130</v>
      </c>
      <c r="C141" s="27">
        <v>2615805</v>
      </c>
      <c r="D141" s="28" t="s">
        <v>154</v>
      </c>
      <c r="E141" s="29">
        <v>28352</v>
      </c>
      <c r="F141" s="30">
        <v>153092579.97</v>
      </c>
      <c r="G141" s="30">
        <f>F141/E141</f>
        <v>5399.7100723053045</v>
      </c>
      <c r="H141" s="31">
        <v>-7.7750000000000004</v>
      </c>
      <c r="I141" s="31">
        <v>-35.487000000000002</v>
      </c>
      <c r="J141" s="32" t="s">
        <v>147</v>
      </c>
    </row>
    <row r="142" spans="2:10" ht="15" customHeight="1">
      <c r="B142" s="27">
        <v>131</v>
      </c>
      <c r="C142" s="27">
        <v>2613008</v>
      </c>
      <c r="D142" s="28" t="s">
        <v>155</v>
      </c>
      <c r="E142" s="29">
        <v>48621</v>
      </c>
      <c r="F142" s="30">
        <v>261148063.12</v>
      </c>
      <c r="G142" s="30">
        <f>F142/E142</f>
        <v>5371.0960926348698</v>
      </c>
      <c r="H142" s="31">
        <v>-8.2170000000000005</v>
      </c>
      <c r="I142" s="31">
        <v>-35.448999999999998</v>
      </c>
      <c r="J142" s="32" t="s">
        <v>147</v>
      </c>
    </row>
    <row r="143" spans="2:10" ht="15" customHeight="1">
      <c r="B143" s="27">
        <v>132</v>
      </c>
      <c r="C143" s="27">
        <v>2615508</v>
      </c>
      <c r="D143" s="28" t="s">
        <v>156</v>
      </c>
      <c r="E143" s="29">
        <v>13874</v>
      </c>
      <c r="F143" s="30">
        <v>74448569.719999999</v>
      </c>
      <c r="G143" s="30">
        <f>F143/E143</f>
        <v>5366.0494248234108</v>
      </c>
      <c r="H143" s="31">
        <v>-8.2829999999999995</v>
      </c>
      <c r="I143" s="31">
        <v>-36.758000000000003</v>
      </c>
      <c r="J143" s="32" t="s">
        <v>147</v>
      </c>
    </row>
    <row r="144" spans="2:10" ht="15" customHeight="1">
      <c r="B144" s="27">
        <v>133</v>
      </c>
      <c r="C144" s="27">
        <v>2609154</v>
      </c>
      <c r="D144" s="28" t="s">
        <v>157</v>
      </c>
      <c r="E144" s="29">
        <v>24255</v>
      </c>
      <c r="F144" s="30">
        <v>129960590.37</v>
      </c>
      <c r="G144" s="30">
        <f>F144/E144</f>
        <v>5358.0948410636984</v>
      </c>
      <c r="H144" s="31">
        <v>-7.9420000000000002</v>
      </c>
      <c r="I144" s="31">
        <v>-35.317999999999998</v>
      </c>
      <c r="J144" s="32" t="s">
        <v>147</v>
      </c>
    </row>
    <row r="145" spans="2:10" ht="15" customHeight="1">
      <c r="B145" s="27">
        <v>134</v>
      </c>
      <c r="C145" s="27">
        <v>2602605</v>
      </c>
      <c r="D145" s="28" t="s">
        <v>158</v>
      </c>
      <c r="E145" s="29">
        <v>48313</v>
      </c>
      <c r="F145" s="30">
        <v>256022040.87</v>
      </c>
      <c r="G145" s="30">
        <f>F145/E145</f>
        <v>5299.2370763562603</v>
      </c>
      <c r="H145" s="31">
        <v>-8.2940000000000005</v>
      </c>
      <c r="I145" s="31">
        <v>-35.957999999999998</v>
      </c>
      <c r="J145" s="32" t="s">
        <v>147</v>
      </c>
    </row>
    <row r="146" spans="2:10" ht="15" customHeight="1">
      <c r="B146" s="27">
        <v>135</v>
      </c>
      <c r="C146" s="27">
        <v>2613107</v>
      </c>
      <c r="D146" s="28" t="s">
        <v>159</v>
      </c>
      <c r="E146" s="29">
        <v>36982</v>
      </c>
      <c r="F146" s="30">
        <v>195851923.72999999</v>
      </c>
      <c r="G146" s="30">
        <f>F146/E146</f>
        <v>5295.8716059163917</v>
      </c>
      <c r="H146" s="31">
        <v>-7.9569999999999999</v>
      </c>
      <c r="I146" s="31">
        <v>-38.444000000000003</v>
      </c>
      <c r="J146" s="32" t="s">
        <v>147</v>
      </c>
    </row>
    <row r="147" spans="2:10" ht="15" customHeight="1">
      <c r="B147" s="27">
        <v>136</v>
      </c>
      <c r="C147" s="27">
        <v>2606002</v>
      </c>
      <c r="D147" s="28" t="s">
        <v>160</v>
      </c>
      <c r="E147" s="29">
        <v>142286</v>
      </c>
      <c r="F147" s="30">
        <v>749580478.50999999</v>
      </c>
      <c r="G147" s="30">
        <f>F147/E147</f>
        <v>5268.1253145776818</v>
      </c>
      <c r="H147" s="31">
        <v>-7.774</v>
      </c>
      <c r="I147" s="31">
        <v>-35.837000000000003</v>
      </c>
      <c r="J147" s="32" t="s">
        <v>147</v>
      </c>
    </row>
    <row r="148" spans="2:10" ht="15" customHeight="1">
      <c r="B148" s="27">
        <v>137</v>
      </c>
      <c r="C148" s="27">
        <v>2602308</v>
      </c>
      <c r="D148" s="28" t="s">
        <v>161</v>
      </c>
      <c r="E148" s="29">
        <v>37953</v>
      </c>
      <c r="F148" s="30">
        <v>199358448.43000001</v>
      </c>
      <c r="G148" s="30">
        <f>F148/E148</f>
        <v>5252.7718080257164</v>
      </c>
      <c r="H148" s="31">
        <v>-7.8630000000000004</v>
      </c>
      <c r="I148" s="31">
        <v>-35.965000000000003</v>
      </c>
      <c r="J148" s="32" t="s">
        <v>147</v>
      </c>
    </row>
    <row r="149" spans="2:10" ht="15" customHeight="1">
      <c r="B149" s="27">
        <v>138</v>
      </c>
      <c r="C149" s="27">
        <v>2600500</v>
      </c>
      <c r="D149" s="28" t="s">
        <v>162</v>
      </c>
      <c r="E149" s="29">
        <v>41549</v>
      </c>
      <c r="F149" s="30">
        <v>214803413.31999999</v>
      </c>
      <c r="G149" s="30">
        <f>F149/E149</f>
        <v>5169.8816655033816</v>
      </c>
      <c r="H149" s="31">
        <v>-7.8979999999999997</v>
      </c>
      <c r="I149" s="31">
        <v>-35.265999999999998</v>
      </c>
      <c r="J149" s="32" t="s">
        <v>147</v>
      </c>
    </row>
    <row r="150" spans="2:10" ht="15" customHeight="1">
      <c r="B150" s="27">
        <v>139</v>
      </c>
      <c r="C150" s="27">
        <v>2616407</v>
      </c>
      <c r="D150" s="28" t="s">
        <v>163</v>
      </c>
      <c r="E150" s="29">
        <v>135182</v>
      </c>
      <c r="F150" s="30">
        <v>697928450.41999996</v>
      </c>
      <c r="G150" s="30">
        <f>F150/E150</f>
        <v>5162.8800463079397</v>
      </c>
      <c r="H150" s="31">
        <v>-9.1419999999999995</v>
      </c>
      <c r="I150" s="31">
        <v>-37.700000000000003</v>
      </c>
      <c r="J150" s="32" t="s">
        <v>147</v>
      </c>
    </row>
    <row r="151" spans="2:10" ht="15" customHeight="1">
      <c r="B151" s="27">
        <v>140</v>
      </c>
      <c r="C151" s="27">
        <v>2610905</v>
      </c>
      <c r="D151" s="28" t="s">
        <v>164</v>
      </c>
      <c r="E151" s="29">
        <v>60853</v>
      </c>
      <c r="F151" s="30">
        <v>312247383.06</v>
      </c>
      <c r="G151" s="30">
        <f>F151/E151</f>
        <v>5131.1748485695034</v>
      </c>
      <c r="H151" s="31">
        <v>-8.3859999999999992</v>
      </c>
      <c r="I151" s="31">
        <v>-36.840000000000003</v>
      </c>
      <c r="J151" s="32" t="s">
        <v>147</v>
      </c>
    </row>
    <row r="152" spans="2:10" ht="15" customHeight="1">
      <c r="B152" s="27">
        <v>141</v>
      </c>
      <c r="C152" s="27">
        <v>2608909</v>
      </c>
      <c r="D152" s="28" t="s">
        <v>165</v>
      </c>
      <c r="E152" s="29">
        <v>55917</v>
      </c>
      <c r="F152" s="30">
        <v>286499383.77999997</v>
      </c>
      <c r="G152" s="30">
        <f>F152/E152</f>
        <v>5123.654412432712</v>
      </c>
      <c r="H152" s="31">
        <v>-7.9089999999999998</v>
      </c>
      <c r="I152" s="31">
        <v>-36.854999999999997</v>
      </c>
      <c r="J152" s="32" t="s">
        <v>147</v>
      </c>
    </row>
    <row r="153" spans="2:10" ht="15" customHeight="1">
      <c r="B153" s="27">
        <v>142</v>
      </c>
      <c r="C153" s="27">
        <v>2602100</v>
      </c>
      <c r="D153" s="28" t="s">
        <v>166</v>
      </c>
      <c r="E153" s="29">
        <v>43577</v>
      </c>
      <c r="F153" s="30">
        <v>212303420.03999999</v>
      </c>
      <c r="G153" s="30">
        <f>F153/E153</f>
        <v>4871.9145429928631</v>
      </c>
      <c r="H153" s="31">
        <v>-9.3879999999999999</v>
      </c>
      <c r="I153" s="31">
        <v>-40.325000000000003</v>
      </c>
      <c r="J153" s="32" t="s">
        <v>147</v>
      </c>
    </row>
    <row r="154" spans="2:10" ht="15" customHeight="1">
      <c r="B154" s="27">
        <v>143</v>
      </c>
      <c r="C154" s="27">
        <v>2611309</v>
      </c>
      <c r="D154" s="28" t="s">
        <v>167</v>
      </c>
      <c r="E154" s="29">
        <v>29499</v>
      </c>
      <c r="F154" s="30">
        <v>143245714.99000001</v>
      </c>
      <c r="G154" s="30">
        <f>F154/E154</f>
        <v>4855.9515573409271</v>
      </c>
      <c r="H154" s="31">
        <v>-8.6969999999999992</v>
      </c>
      <c r="I154" s="31">
        <v>-35.755000000000003</v>
      </c>
      <c r="J154" s="32" t="s">
        <v>147</v>
      </c>
    </row>
    <row r="155" spans="2:10" ht="15" customHeight="1">
      <c r="B155" s="27">
        <v>144</v>
      </c>
      <c r="C155" s="27">
        <v>2611101</v>
      </c>
      <c r="D155" s="28" t="s">
        <v>168</v>
      </c>
      <c r="E155" s="29">
        <v>388145</v>
      </c>
      <c r="F155" s="30">
        <v>1875194871.1700001</v>
      </c>
      <c r="G155" s="30">
        <f>F155/E155</f>
        <v>4831.1710086952044</v>
      </c>
      <c r="H155" s="31">
        <v>-9.3889999999999993</v>
      </c>
      <c r="I155" s="31">
        <v>-40.502000000000002</v>
      </c>
      <c r="J155" s="32" t="s">
        <v>147</v>
      </c>
    </row>
    <row r="156" spans="2:10" ht="15" customHeight="1">
      <c r="B156" s="27">
        <v>145</v>
      </c>
      <c r="C156" s="27">
        <v>2609402</v>
      </c>
      <c r="D156" s="28" t="s">
        <v>169</v>
      </c>
      <c r="E156" s="29">
        <v>54637</v>
      </c>
      <c r="F156" s="30">
        <v>260823916.63</v>
      </c>
      <c r="G156" s="30">
        <f>F156/E156</f>
        <v>4773.759844610795</v>
      </c>
      <c r="H156" s="31">
        <v>-8.8230000000000004</v>
      </c>
      <c r="I156" s="31">
        <v>-36.768999999999998</v>
      </c>
      <c r="J156" s="32" t="s">
        <v>147</v>
      </c>
    </row>
    <row r="157" spans="2:10" ht="15" customHeight="1">
      <c r="B157" s="27">
        <v>146</v>
      </c>
      <c r="C157" s="27">
        <v>2614501</v>
      </c>
      <c r="D157" s="28" t="s">
        <v>170</v>
      </c>
      <c r="E157" s="29">
        <v>63979</v>
      </c>
      <c r="F157" s="30">
        <v>299720485.08999997</v>
      </c>
      <c r="G157" s="30">
        <f>F157/E157</f>
        <v>4684.6697367886336</v>
      </c>
      <c r="H157" s="31">
        <v>-8.6940000000000008</v>
      </c>
      <c r="I157" s="31">
        <v>-36.223999999999997</v>
      </c>
      <c r="J157" s="32" t="s">
        <v>147</v>
      </c>
    </row>
    <row r="158" spans="2:10" ht="15" customHeight="1">
      <c r="B158" s="27">
        <v>147</v>
      </c>
      <c r="C158" s="27">
        <v>2601102</v>
      </c>
      <c r="D158" s="28" t="s">
        <v>171</v>
      </c>
      <c r="E158" s="29">
        <v>85135</v>
      </c>
      <c r="F158" s="30">
        <v>397039498.41000003</v>
      </c>
      <c r="G158" s="30">
        <f>F158/E158</f>
        <v>4663.6459553650084</v>
      </c>
      <c r="H158" s="31">
        <v>-9.1509999999999998</v>
      </c>
      <c r="I158" s="31">
        <v>-38.228000000000002</v>
      </c>
      <c r="J158" s="32" t="s">
        <v>147</v>
      </c>
    </row>
    <row r="159" spans="2:10" ht="15" customHeight="1">
      <c r="B159" s="27">
        <v>148</v>
      </c>
      <c r="C159" s="27">
        <v>2604007</v>
      </c>
      <c r="D159" s="28" t="s">
        <v>172</v>
      </c>
      <c r="E159" s="29">
        <v>78865</v>
      </c>
      <c r="F159" s="30">
        <v>367776312.88999999</v>
      </c>
      <c r="G159" s="30">
        <f>F159/E159</f>
        <v>4663.3654078488553</v>
      </c>
      <c r="H159" s="31">
        <v>-7.7850000000000001</v>
      </c>
      <c r="I159" s="31">
        <v>-37.152999999999999</v>
      </c>
      <c r="J159" s="32" t="s">
        <v>147</v>
      </c>
    </row>
    <row r="160" spans="2:10" ht="15" customHeight="1">
      <c r="B160" s="27">
        <v>149</v>
      </c>
      <c r="C160" s="27">
        <v>2613909</v>
      </c>
      <c r="D160" s="28" t="s">
        <v>173</v>
      </c>
      <c r="E160" s="29">
        <v>91624</v>
      </c>
      <c r="F160" s="30">
        <v>426693347.70999998</v>
      </c>
      <c r="G160" s="30">
        <f>F160/E160</f>
        <v>4657.0041442198544</v>
      </c>
      <c r="H160" s="31">
        <v>-8.3369999999999997</v>
      </c>
      <c r="I160" s="31">
        <v>-38.521000000000001</v>
      </c>
      <c r="J160" s="32" t="s">
        <v>147</v>
      </c>
    </row>
    <row r="161" spans="2:10" ht="15" customHeight="1">
      <c r="B161" s="27">
        <v>150</v>
      </c>
      <c r="C161" s="27">
        <v>2603454</v>
      </c>
      <c r="D161" s="28" t="s">
        <v>174</v>
      </c>
      <c r="E161" s="29">
        <v>146912</v>
      </c>
      <c r="F161" s="30">
        <v>683581870.29999995</v>
      </c>
      <c r="G161" s="30">
        <f>F161/E161</f>
        <v>4653.0022755118707</v>
      </c>
      <c r="H161" s="31">
        <v>-8.2530000000000001</v>
      </c>
      <c r="I161" s="31">
        <v>-36.023000000000003</v>
      </c>
      <c r="J161" s="32" t="s">
        <v>147</v>
      </c>
    </row>
    <row r="162" spans="2:10" ht="15" customHeight="1">
      <c r="B162" s="27">
        <v>151</v>
      </c>
      <c r="C162" s="27">
        <v>2601904</v>
      </c>
      <c r="D162" s="28" t="s">
        <v>175</v>
      </c>
      <c r="E162" s="29">
        <v>61398</v>
      </c>
      <c r="F162" s="30">
        <v>283048590.52999997</v>
      </c>
      <c r="G162" s="30">
        <f>F162/E162</f>
        <v>4610.062062770774</v>
      </c>
      <c r="H162" s="31">
        <v>-8.5139999999999993</v>
      </c>
      <c r="I162" s="31">
        <v>-36.298000000000002</v>
      </c>
      <c r="J162" s="32" t="s">
        <v>147</v>
      </c>
    </row>
    <row r="163" spans="2:10" ht="15" customHeight="1">
      <c r="B163" s="27">
        <v>152</v>
      </c>
      <c r="C163" s="27">
        <v>2606408</v>
      </c>
      <c r="D163" s="28" t="s">
        <v>176</v>
      </c>
      <c r="E163" s="29">
        <v>85983</v>
      </c>
      <c r="F163" s="30">
        <v>393000085.66000003</v>
      </c>
      <c r="G163" s="30">
        <f>F163/E163</f>
        <v>4570.6719428259075</v>
      </c>
      <c r="H163" s="31">
        <v>-7.9749999999999996</v>
      </c>
      <c r="I163" s="31">
        <v>-38.747999999999998</v>
      </c>
      <c r="J163" s="32" t="s">
        <v>147</v>
      </c>
    </row>
    <row r="164" spans="2:10" ht="15" customHeight="1">
      <c r="B164" s="27">
        <v>153</v>
      </c>
      <c r="C164" s="27">
        <v>2606804</v>
      </c>
      <c r="D164" s="28" t="s">
        <v>177</v>
      </c>
      <c r="E164" s="29">
        <v>115281</v>
      </c>
      <c r="F164" s="30">
        <v>524577608.19</v>
      </c>
      <c r="G164" s="30">
        <f>F164/E164</f>
        <v>4550.4255531267081</v>
      </c>
      <c r="H164" s="31">
        <v>-8.1189999999999998</v>
      </c>
      <c r="I164" s="31">
        <v>-35.634</v>
      </c>
      <c r="J164" s="32" t="s">
        <v>147</v>
      </c>
    </row>
    <row r="165" spans="2:10" ht="15" customHeight="1">
      <c r="B165" s="27">
        <v>154</v>
      </c>
      <c r="C165" s="27">
        <v>2601201</v>
      </c>
      <c r="D165" s="28" t="s">
        <v>178</v>
      </c>
      <c r="E165" s="29">
        <v>77660</v>
      </c>
      <c r="F165" s="30">
        <v>351048132.81999999</v>
      </c>
      <c r="G165" s="30">
        <f>F165/E165</f>
        <v>4520.3210509915016</v>
      </c>
      <c r="H165" s="31">
        <v>-7.9219999999999997</v>
      </c>
      <c r="I165" s="31">
        <v>-35.744</v>
      </c>
      <c r="J165" s="32" t="s">
        <v>147</v>
      </c>
    </row>
    <row r="166" spans="2:10" ht="15" customHeight="1">
      <c r="B166" s="27">
        <v>155</v>
      </c>
      <c r="C166" s="27">
        <v>2604106</v>
      </c>
      <c r="D166" s="28" t="s">
        <v>179</v>
      </c>
      <c r="E166" s="29">
        <v>378180</v>
      </c>
      <c r="F166" s="30">
        <v>1687583379.3499999</v>
      </c>
      <c r="G166" s="30">
        <f>F166/E166</f>
        <v>4462.3813510762066</v>
      </c>
      <c r="H166" s="31">
        <v>-8.5120000000000005</v>
      </c>
      <c r="I166" s="31">
        <v>-35.018000000000001</v>
      </c>
      <c r="J166" s="32" t="s">
        <v>147</v>
      </c>
    </row>
    <row r="167" spans="2:10" ht="15" customHeight="1">
      <c r="B167" s="27">
        <v>156</v>
      </c>
      <c r="C167" s="27">
        <v>2605202</v>
      </c>
      <c r="D167" s="28" t="s">
        <v>180</v>
      </c>
      <c r="E167" s="29">
        <v>59526</v>
      </c>
      <c r="F167" s="30">
        <v>256981346.38999999</v>
      </c>
      <c r="G167" s="30">
        <f>F167/E167</f>
        <v>4317.1277490508346</v>
      </c>
      <c r="H167" s="31">
        <v>-8.0190000000000001</v>
      </c>
      <c r="I167" s="31">
        <v>-35.25</v>
      </c>
      <c r="J167" s="32" t="s">
        <v>147</v>
      </c>
    </row>
    <row r="168" spans="2:10" ht="15" customHeight="1">
      <c r="B168" s="27">
        <v>157</v>
      </c>
      <c r="C168" s="27">
        <v>2609501</v>
      </c>
      <c r="D168" s="28" t="s">
        <v>181</v>
      </c>
      <c r="E168" s="29">
        <v>30589</v>
      </c>
      <c r="F168" s="30">
        <v>130000751.7</v>
      </c>
      <c r="G168" s="30">
        <f>F168/E168</f>
        <v>4249.9183268495208</v>
      </c>
      <c r="H168" s="31">
        <v>-8.3539999999999992</v>
      </c>
      <c r="I168" s="31">
        <v>-37.073</v>
      </c>
      <c r="J168" s="32" t="s">
        <v>147</v>
      </c>
    </row>
    <row r="169" spans="2:10" ht="15" customHeight="1">
      <c r="B169" s="27">
        <v>158</v>
      </c>
      <c r="C169" s="27">
        <v>2609907</v>
      </c>
      <c r="D169" s="28" t="s">
        <v>182</v>
      </c>
      <c r="E169" s="29">
        <v>65200</v>
      </c>
      <c r="F169" s="30">
        <v>276556174.99000001</v>
      </c>
      <c r="G169" s="30">
        <f>F169/E169</f>
        <v>4241.6591256134971</v>
      </c>
      <c r="H169" s="31">
        <v>-7.617</v>
      </c>
      <c r="I169" s="31">
        <v>-35.283999999999999</v>
      </c>
      <c r="J169" s="32" t="s">
        <v>147</v>
      </c>
    </row>
    <row r="170" spans="2:10" ht="15" customHeight="1">
      <c r="B170" s="27">
        <v>159</v>
      </c>
      <c r="C170" s="27">
        <v>2600054</v>
      </c>
      <c r="D170" s="28" t="s">
        <v>183</v>
      </c>
      <c r="E170" s="29">
        <v>99331</v>
      </c>
      <c r="F170" s="30">
        <v>394785433.38999999</v>
      </c>
      <c r="G170" s="30">
        <f>F170/E170</f>
        <v>3974.4433599782542</v>
      </c>
      <c r="H170" s="31">
        <v>-8.3539999999999992</v>
      </c>
      <c r="I170" s="31">
        <v>-36.020000000000003</v>
      </c>
      <c r="J170" s="32" t="s">
        <v>147</v>
      </c>
    </row>
    <row r="171" spans="2:10" ht="15" customHeight="1">
      <c r="B171" s="27">
        <v>160</v>
      </c>
      <c r="C171" s="27">
        <v>2613701</v>
      </c>
      <c r="D171" s="28" t="s">
        <v>184</v>
      </c>
      <c r="E171" s="29">
        <v>110765</v>
      </c>
      <c r="F171" s="30">
        <v>415625954.27999997</v>
      </c>
      <c r="G171" s="30">
        <f>F171/E171</f>
        <v>3752.3220717735744</v>
      </c>
      <c r="H171" s="31">
        <v>-8.4969999999999999</v>
      </c>
      <c r="I171" s="31">
        <v>-36.43</v>
      </c>
      <c r="J171" s="32" t="s">
        <v>147</v>
      </c>
    </row>
    <row r="172" spans="2:10" ht="15" customHeight="1">
      <c r="B172" s="27">
        <v>161</v>
      </c>
      <c r="C172" s="27">
        <v>2607901</v>
      </c>
      <c r="D172" s="28" t="s">
        <v>185</v>
      </c>
      <c r="E172" s="29">
        <v>653793</v>
      </c>
      <c r="F172" s="30">
        <v>2410433829.48</v>
      </c>
      <c r="G172" s="30">
        <f>F172/E172</f>
        <v>3686.8455757097431</v>
      </c>
      <c r="H172" s="31">
        <v>-7.6159999999999997</v>
      </c>
      <c r="I172" s="31">
        <v>-36.460999999999999</v>
      </c>
      <c r="J172" s="32" t="s">
        <v>147</v>
      </c>
    </row>
    <row r="173" spans="2:10" ht="15" customHeight="1">
      <c r="B173" s="27">
        <v>162</v>
      </c>
      <c r="C173" s="27">
        <v>2609600</v>
      </c>
      <c r="D173" s="28" t="s">
        <v>186</v>
      </c>
      <c r="E173" s="29">
        <v>349920</v>
      </c>
      <c r="F173" s="30">
        <v>1183254910.0799999</v>
      </c>
      <c r="G173" s="30">
        <f>F173/E173</f>
        <v>3381.5012290809327</v>
      </c>
      <c r="H173" s="31">
        <v>-7.9989999999999997</v>
      </c>
      <c r="I173" s="31">
        <v>-34.854999999999997</v>
      </c>
      <c r="J173" s="32" t="s">
        <v>147</v>
      </c>
    </row>
    <row r="174" spans="2:10" ht="15" customHeight="1">
      <c r="B174" s="27">
        <v>163</v>
      </c>
      <c r="C174" s="27">
        <v>2610707</v>
      </c>
      <c r="D174" s="28" t="s">
        <v>187</v>
      </c>
      <c r="E174" s="29">
        <v>348253</v>
      </c>
      <c r="F174" s="30">
        <v>966128856.74000001</v>
      </c>
      <c r="G174" s="30">
        <f>F174/E174</f>
        <v>2774.2154604267589</v>
      </c>
      <c r="H174" s="31">
        <v>-7.94</v>
      </c>
      <c r="I174" s="31">
        <v>-34.872</v>
      </c>
      <c r="J174" s="32" t="s">
        <v>147</v>
      </c>
    </row>
    <row r="213" spans="2:9">
      <c r="B213" s="2" t="s">
        <v>188</v>
      </c>
      <c r="C213" s="2"/>
      <c r="D213" s="2"/>
      <c r="E213" s="2"/>
      <c r="F213" s="2"/>
      <c r="G213" s="2"/>
      <c r="H213" s="2"/>
      <c r="I213" s="2"/>
    </row>
    <row r="214" spans="2:9">
      <c r="B214" s="1" t="s">
        <v>189</v>
      </c>
      <c r="C214" s="1"/>
      <c r="D214" s="1"/>
      <c r="E214" s="1"/>
      <c r="F214" s="1"/>
      <c r="G214" s="1"/>
      <c r="H214" s="1"/>
      <c r="I214" s="1"/>
    </row>
  </sheetData>
  <mergeCells count="5">
    <mergeCell ref="B1:I1"/>
    <mergeCell ref="B2:I2"/>
    <mergeCell ref="B4:E4"/>
    <mergeCell ref="B213:I213"/>
    <mergeCell ref="B214:I2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2026-05-06T02:18:32Z</dcterms:created>
  <dcterms:modified xsi:type="dcterms:W3CDTF">2026-05-06T02:40:41Z</dcterms:modified>
  <cp:category/>
  <cp:contentStatus/>
</cp:coreProperties>
</file>