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0" documentId="8_{A0C95F95-60D7-4E3C-B91C-EF36EE05628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Olinda" sheetId="1" r:id="rId1"/>
    <sheet name="Petrolina" sheetId="2" r:id="rId2"/>
    <sheet name="Comparativo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<sst xmlns="http://schemas.openxmlformats.org/spreadsheetml/2006/main" count="105" uniqueCount="82">
  <si>
    <t>REGRESSÃO LINEAR: Receita = β0 + β1 · PIB + ε  —  OLINDA (2016–2023)</t>
  </si>
  <si>
    <t>Valores em R$ milhões (nominais)  |  PIB: IBGE Tabela 5938  |  Receita: SICONFI/STN  |  Estimação: Excel (PROJ.LIN)</t>
  </si>
  <si>
    <t xml:space="preserve"> BASE DE DADOS</t>
  </si>
  <si>
    <t>Ano</t>
  </si>
  <si>
    <t>PIB
(R$ mi)</t>
  </si>
  <si>
    <t>Receita Obs.
(R$ mi)</t>
  </si>
  <si>
    <t>Receita Est.
(R$ mi)</t>
  </si>
  <si>
    <t>Resíduo
(R$ mi)</t>
  </si>
  <si>
    <t>PIB (R$ mi)</t>
  </si>
  <si>
    <t>Rec. Obs. (R$ mi)</t>
  </si>
  <si>
    <t>Rec. Est. (R$ mi)</t>
  </si>
  <si>
    <t>RESULTADOS (gerados pelo PROJ.LIN)</t>
  </si>
  <si>
    <t>β1 (coef. PIB)</t>
  </si>
  <si>
    <t>β0 (intercepto)</t>
  </si>
  <si>
    <t>Linha 1 — Coeficientes</t>
  </si>
  <si>
    <t>Linha 2 — Erros padrão</t>
  </si>
  <si>
    <t>Linha 3 — R² | Erro padrão Y</t>
  </si>
  <si>
    <t>Linha 4 — Estatística F</t>
  </si>
  <si>
    <t>51.94</t>
  </si>
  <si>
    <t>Linha 5 — SQ Regressão</t>
  </si>
  <si>
    <t>INTERPRETAÇÃO</t>
  </si>
  <si>
    <t>Equação</t>
  </si>
  <si>
    <t>Receita = -784.54 + 0.273150 × PIB</t>
  </si>
  <si>
    <t>β1</t>
  </si>
  <si>
    <t>0.273150 → cada R$ 1 mi a mais no PIB aumenta a receita em R$ 273 mil</t>
  </si>
  <si>
    <t>β0</t>
  </si>
  <si>
    <t>-784.54 → valor da receita quando PIB = 0 (sem sentido econômico prático)</t>
  </si>
  <si>
    <t>R²</t>
  </si>
  <si>
    <t>0.8965 → 89.6% da variação da receita é explicada pelo PIB</t>
  </si>
  <si>
    <t>p-valor de β1</t>
  </si>
  <si>
    <t>0.0004 → relação estatisticamente significativa (p &lt; 0,05)  ✓</t>
  </si>
  <si>
    <t>Fiscal</t>
  </si>
  <si>
    <t>Crescimento de R$ 1 bilhão no PIB gera ~R$ 273 mi de receita adicional</t>
  </si>
  <si>
    <t xml:space="preserve">Fonte: IBGE Tabela 5938 (PIB Municipal) e SICONFI/STN (Receitas Brutas Realizadas). Estimação: Excel — PROJ.LIN (MQO). </t>
  </si>
  <si>
    <t>REGRESSÃO LINEAR: Receita = β0 + β1 · PIB + ε  —  PETROLINA (2016–2023)</t>
  </si>
  <si>
    <t>BASE DE DADOS</t>
  </si>
  <si>
    <t xml:space="preserve"> RESULTADOS (gerados pelo PROJ.LIN)</t>
  </si>
  <si>
    <t>175.21</t>
  </si>
  <si>
    <t xml:space="preserve"> INTERPRETAÇÃO</t>
  </si>
  <si>
    <t>Receita = -652.62 + 0.221592 × PIB</t>
  </si>
  <si>
    <t>0.221592 → cada R$ 1 mi a mais no PIB aumenta a receita em R$ 222 mil</t>
  </si>
  <si>
    <t>-652.62 → valor da receita quando PIB = 0 (sem sentido econômico prático)</t>
  </si>
  <si>
    <t>0.9669 → 96.7% da variação da receita é explicada pelo PIB</t>
  </si>
  <si>
    <t>0.0000 → relação estatisticamente significativa (p &lt; 0,05)  ✓</t>
  </si>
  <si>
    <t>Crescimento de R$ 1 bilhão no PIB gera ~R$ 222 mi de receita adicional</t>
  </si>
  <si>
    <t>COMPARATIVO DOS RESULTADOS — Olinda vs Petrolina</t>
  </si>
  <si>
    <t>Regressão: Receita = β0 + β1 · PIB  |  2016–2023  |  Método: PROJ.LIN (MQO) no Excel</t>
  </si>
  <si>
    <t>Parâmetro</t>
  </si>
  <si>
    <t>Olinda</t>
  </si>
  <si>
    <t>Petrolina</t>
  </si>
  <si>
    <t>Comparação</t>
  </si>
  <si>
    <t>β0 — Intercepto</t>
  </si>
  <si>
    <t>-784.54</t>
  </si>
  <si>
    <t>-652.62</t>
  </si>
  <si>
    <t>Sem interpretação econômica direta</t>
  </si>
  <si>
    <t>β1 — Coef. do PIB</t>
  </si>
  <si>
    <t>0.273150</t>
  </si>
  <si>
    <t>0.221592</t>
  </si>
  <si>
    <t>Olinda captura R$ 273 mil por R$ 1 mi de PIB vs R$ 222 mil de Petrolina</t>
  </si>
  <si>
    <t>R² (ajuste)</t>
  </si>
  <si>
    <t>89.6%</t>
  </si>
  <si>
    <t>96.7%</t>
  </si>
  <si>
    <t>Petrolina: PIB explica 96,7% da receita — ajuste excelente</t>
  </si>
  <si>
    <t>0.0004</t>
  </si>
  <si>
    <t>0.0000</t>
  </si>
  <si>
    <t>Ambos significativos ao nível de 5% ✓</t>
  </si>
  <si>
    <t>Erro padrão de β1</t>
  </si>
  <si>
    <t>0.037899</t>
  </si>
  <si>
    <t>0.016741</t>
  </si>
  <si>
    <t>Petrolina tem estimativa mais precisa</t>
  </si>
  <si>
    <t>Receita adicional / R$1bi PIB</t>
  </si>
  <si>
    <t>R$ 273 mi</t>
  </si>
  <si>
    <t>R$ 222 mi</t>
  </si>
  <si>
    <t>Impacto fiscal esperado de R$ 1 bilhão a mais no PIB</t>
  </si>
  <si>
    <t>CONCLUSÕES FISCAIS</t>
  </si>
  <si>
    <t>▶ Ambos os municípios têm relação positiva e significativa entre PIB e Receita — crescimento econômico amplia a arrecadação.</t>
  </si>
  <si>
    <t>▶ Olinda (β1 = 0.2732): cada R$ 1 bi a mais no PIB gera ~R$ 273 mi de receita adicional. R² = 89.6%.</t>
  </si>
  <si>
    <t>▶ Petrolina (β1 = 0.2216): cada R$ 1 bi a mais no PIB gera ~R$ 222 mi de receita adicional. R² = 96.7%.</t>
  </si>
  <si>
    <t>▶ O β1 maior de Olinda indica que sua receita responde mais por unidade de PIB (maior peso de tributos próprios como ISS e IPTU).</t>
  </si>
  <si>
    <t>▶ O R² superior de Petrolina mostra que o modelo linear explica quase toda a variação da receita — relação muito robusta.</t>
  </si>
  <si>
    <t>▶ Implicação: políticas que estimulem a economia local ampliam receitas sem elevar alíquotas — crescimento econômico = mais espaço fiscal.</t>
  </si>
  <si>
    <t>Fonte: IBGE Tabela 5938 e SICONFI/STN. Estimação: Excel (PROJ.LIN / MQO).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</si>
</sst>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8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sz val="10"/>
      <color rgb="FF000000"/>
      <name val="Arial"/>
    </font>
    <font>
      <b/>
      <sz val="10"/>
      <color rgb="FF000000"/>
      <name val="Arial"/>
    </font>
    <font>
      <i/>
      <sz val="8"/>
      <color rgb="FF595959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rgb="FF2E75B6"/>
      </patternFill>
    </fill>
    <fill>
      <patternFill patternType="solid">
        <fgColor rgb="FFC55A11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3" fillId="7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center" vertical="center"/>
    </xf>
    <xf numFmtId="4" fontId="5" fillId="9" borderId="1" xfId="0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49" fontId="5" fillId="9" borderId="1" xfId="0" applyNumberFormat="1" applyFont="1" applyFill="1" applyBorder="1" applyAlignment="1">
      <alignment horizontal="center" vertical="center"/>
    </xf>
    <xf numFmtId="4" fontId="5" fillId="9" borderId="1" xfId="0" applyNumberFormat="1" applyFont="1" applyFill="1" applyBorder="1" applyAlignment="1">
      <alignment horizontal="right" vertical="center"/>
    </xf>
    <xf numFmtId="0" fontId="0" fillId="9" borderId="0" xfId="0" applyFill="1"/>
    <xf numFmtId="0" fontId="6" fillId="9" borderId="1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left" vertical="center" wrapText="1"/>
    </xf>
    <xf numFmtId="0" fontId="5" fillId="9" borderId="0" xfId="0" applyFont="1" applyFill="1" applyBorder="1" applyAlignment="1">
      <alignment horizontal="left" vertical="center" wrapText="1"/>
    </xf>
    <xf numFmtId="0" fontId="0" fillId="0" borderId="0" xfId="0" applyAlignment="1"/>
    <xf numFmtId="0" fontId="0" fillId="0" borderId="4" xfId="0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Dispersão: Receita × PIB — Olinda (2016–2023)</a:t>
            </a:r>
          </a:p>
        </c:rich>
      </c:tx>
      <c:layout>
        <c:manualLayout>
          <c:xMode val="edge"/>
          <c:yMode val="edge"/>
          <c:x val="0.26945859972631619"/>
          <c:y val="7.3584934450545397E-2"/>
        </c:manualLayout>
      </c:layout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Olinda — Observado</c:v>
          </c:tx>
          <c:spPr>
            <a:ln>
              <a:noFill/>
              <a:prstDash val="solid"/>
            </a:ln>
          </c:spPr>
          <c:marker>
            <c:symbol val="circle"/>
            <c:size val="8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</c:marker>
          <c:xVal>
            <c:numRef>
              <c:f>Olinda!$G$6:$G$13</c:f>
              <c:numCache>
                <c:formatCode>#,##0.00</c:formatCode>
                <c:ptCount val="8"/>
                <c:pt idx="0">
                  <c:v>5271.21</c:v>
                </c:pt>
                <c:pt idx="1">
                  <c:v>5437.64</c:v>
                </c:pt>
                <c:pt idx="2">
                  <c:v>5534.2</c:v>
                </c:pt>
                <c:pt idx="3">
                  <c:v>5524.36</c:v>
                </c:pt>
                <c:pt idx="4">
                  <c:v>5414.45</c:v>
                </c:pt>
                <c:pt idx="5">
                  <c:v>5788.25</c:v>
                </c:pt>
                <c:pt idx="6">
                  <c:v>6430.54</c:v>
                </c:pt>
                <c:pt idx="7">
                  <c:v>7024.92</c:v>
                </c:pt>
              </c:numCache>
            </c:numRef>
          </c:xVal>
          <c:yVal>
            <c:numRef>
              <c:f>Olinda!$H$6:$H$13</c:f>
              <c:numCache>
                <c:formatCode>#,##0.00</c:formatCode>
                <c:ptCount val="8"/>
                <c:pt idx="0">
                  <c:v>628.62</c:v>
                </c:pt>
                <c:pt idx="1">
                  <c:v>627.29</c:v>
                </c:pt>
                <c:pt idx="2">
                  <c:v>688.58</c:v>
                </c:pt>
                <c:pt idx="3">
                  <c:v>721.27</c:v>
                </c:pt>
                <c:pt idx="4">
                  <c:v>780.91</c:v>
                </c:pt>
                <c:pt idx="5">
                  <c:v>837.46</c:v>
                </c:pt>
                <c:pt idx="6">
                  <c:v>1031.99</c:v>
                </c:pt>
                <c:pt idx="7">
                  <c:v>1088.71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AC8-453E-97CB-783E85125521}"/>
            </c:ext>
          </c:extLst>
        </c:ser>
        <c:ser>
          <c:idx val="1"/>
          <c:order val="1"/>
          <c:tx>
            <c:v>Linha de Regressão (β0 + β1·PIB)</c:v>
          </c:tx>
          <c:spPr>
            <a:ln w="220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Olinda!$G$6:$G$13</c:f>
              <c:numCache>
                <c:formatCode>#,##0.00</c:formatCode>
                <c:ptCount val="8"/>
                <c:pt idx="0">
                  <c:v>5271.21</c:v>
                </c:pt>
                <c:pt idx="1">
                  <c:v>5437.64</c:v>
                </c:pt>
                <c:pt idx="2">
                  <c:v>5534.2</c:v>
                </c:pt>
                <c:pt idx="3">
                  <c:v>5524.36</c:v>
                </c:pt>
                <c:pt idx="4">
                  <c:v>5414.45</c:v>
                </c:pt>
                <c:pt idx="5">
                  <c:v>5788.25</c:v>
                </c:pt>
                <c:pt idx="6">
                  <c:v>6430.54</c:v>
                </c:pt>
                <c:pt idx="7">
                  <c:v>7024.92</c:v>
                </c:pt>
              </c:numCache>
            </c:numRef>
          </c:xVal>
          <c:yVal>
            <c:numRef>
              <c:f>Olinda!$I$6:$I$13</c:f>
              <c:numCache>
                <c:formatCode>#,##0.00</c:formatCode>
                <c:ptCount val="8"/>
                <c:pt idx="0">
                  <c:v>655.29</c:v>
                </c:pt>
                <c:pt idx="1">
                  <c:v>700.75</c:v>
                </c:pt>
                <c:pt idx="2">
                  <c:v>727.13</c:v>
                </c:pt>
                <c:pt idx="3">
                  <c:v>724.44</c:v>
                </c:pt>
                <c:pt idx="4">
                  <c:v>694.42</c:v>
                </c:pt>
                <c:pt idx="5">
                  <c:v>796.52</c:v>
                </c:pt>
                <c:pt idx="6">
                  <c:v>971.97</c:v>
                </c:pt>
                <c:pt idx="7">
                  <c:v>1134.32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AC8-453E-97CB-783E851255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PIB (R$ milhões)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Receita (R$ milhões)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8840920107147838"/>
          <c:y val="0.48394773017217041"/>
          <c:w val="0.29839316239316238"/>
          <c:h val="0.25296290793839449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Dispersão: Receita × PIB — Petrolina (2016–2023)</a:t>
            </a:r>
          </a:p>
        </c:rich>
      </c:tx>
      <c:layout>
        <c:manualLayout>
          <c:xMode val="edge"/>
          <c:yMode val="edge"/>
          <c:x val="0.19308544989131374"/>
          <c:y val="7.1864396434719285E-2"/>
        </c:manualLayout>
      </c:layout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Petrolina — Observado</c:v>
          </c:tx>
          <c:spPr>
            <a:ln>
              <a:noFill/>
              <a:prstDash val="solid"/>
            </a:ln>
          </c:spPr>
          <c:marker>
            <c:symbol val="circle"/>
            <c:size val="8"/>
            <c: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c:spPr>
          </c:marker>
          <c:trendline>
            <c:trendlineType val="linear"/>
            <c:dispRSqr val="0"/>
            <c:dispEq val="0"/>
          </c:trendline>
          <c:xVal>
            <c:numRef>
              <c:f>Petrolina!$G$6:$G$13</c:f>
              <c:numCache>
                <c:formatCode>#,##0.00</c:formatCode>
                <c:ptCount val="8"/>
                <c:pt idx="0">
                  <c:v>5764.62</c:v>
                </c:pt>
                <c:pt idx="1">
                  <c:v>5988.82</c:v>
                </c:pt>
                <c:pt idx="2">
                  <c:v>6686.07</c:v>
                </c:pt>
                <c:pt idx="3">
                  <c:v>7137.56</c:v>
                </c:pt>
                <c:pt idx="4">
                  <c:v>7079.38</c:v>
                </c:pt>
                <c:pt idx="5">
                  <c:v>7994.04</c:v>
                </c:pt>
                <c:pt idx="6">
                  <c:v>8834.26</c:v>
                </c:pt>
                <c:pt idx="7">
                  <c:v>10577.53</c:v>
                </c:pt>
              </c:numCache>
            </c:numRef>
          </c:xVal>
          <c:yVal>
            <c:numRef>
              <c:f>Petrolina!$H$6:$H$13</c:f>
              <c:numCache>
                <c:formatCode>#,##0.00</c:formatCode>
                <c:ptCount val="8"/>
                <c:pt idx="0">
                  <c:v>645.15</c:v>
                </c:pt>
                <c:pt idx="1">
                  <c:v>669.78</c:v>
                </c:pt>
                <c:pt idx="2">
                  <c:v>756.95</c:v>
                </c:pt>
                <c:pt idx="3">
                  <c:v>843.2</c:v>
                </c:pt>
                <c:pt idx="4">
                  <c:v>968.74</c:v>
                </c:pt>
                <c:pt idx="5">
                  <c:v>1188.5999999999999</c:v>
                </c:pt>
                <c:pt idx="6">
                  <c:v>1382.08</c:v>
                </c:pt>
                <c:pt idx="7">
                  <c:v>1633.88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CCA-452B-9C8E-BF5F697D52B1}"/>
            </c:ext>
          </c:extLst>
        </c:ser>
        <c:ser>
          <c:idx val="1"/>
          <c:order val="1"/>
          <c:tx>
            <c:v>Linha de Regressão (β0 + β1·PIB)</c:v>
          </c:tx>
          <c:spPr>
            <a:ln w="220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Petrolina!$G$6:$G$13</c:f>
              <c:numCache>
                <c:formatCode>#,##0.00</c:formatCode>
                <c:ptCount val="8"/>
                <c:pt idx="0">
                  <c:v>5764.62</c:v>
                </c:pt>
                <c:pt idx="1">
                  <c:v>5988.82</c:v>
                </c:pt>
                <c:pt idx="2">
                  <c:v>6686.07</c:v>
                </c:pt>
                <c:pt idx="3">
                  <c:v>7137.56</c:v>
                </c:pt>
                <c:pt idx="4">
                  <c:v>7079.38</c:v>
                </c:pt>
                <c:pt idx="5">
                  <c:v>7994.04</c:v>
                </c:pt>
                <c:pt idx="6">
                  <c:v>8834.26</c:v>
                </c:pt>
                <c:pt idx="7">
                  <c:v>10577.53</c:v>
                </c:pt>
              </c:numCache>
            </c:numRef>
          </c:xVal>
          <c:yVal>
            <c:numRef>
              <c:f>Petrolina!$I$6:$I$13</c:f>
              <c:numCache>
                <c:formatCode>#,##0.00</c:formatCode>
                <c:ptCount val="8"/>
                <c:pt idx="0">
                  <c:v>624.78</c:v>
                </c:pt>
                <c:pt idx="1">
                  <c:v>674.46</c:v>
                </c:pt>
                <c:pt idx="2">
                  <c:v>828.96</c:v>
                </c:pt>
                <c:pt idx="3">
                  <c:v>929.01</c:v>
                </c:pt>
                <c:pt idx="4">
                  <c:v>916.12</c:v>
                </c:pt>
                <c:pt idx="5">
                  <c:v>1118.8</c:v>
                </c:pt>
                <c:pt idx="6">
                  <c:v>1304.98</c:v>
                </c:pt>
                <c:pt idx="7">
                  <c:v>1691.28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CCA-452B-9C8E-BF5F697D5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PIB (R$ milhões)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Receita (R$ milhões)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584022038567493"/>
          <c:y val="0.24328237310769565"/>
          <c:w val="0.3415977961432507"/>
          <c:h val="0.40902815961564126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257175</xdr:colOff>
      <xdr:row>0</xdr:row>
      <xdr:rowOff>47625</xdr:rowOff>
    </xdr:from>
    <xdr:ext cx="5181600" cy="29432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295275</xdr:colOff>
      <xdr:row>0</xdr:row>
      <xdr:rowOff>123825</xdr:rowOff>
    </xdr:from>
    <xdr:ext cx="4610100" cy="28098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showGridLines="0" tabSelected="1" topLeftCell="A5" workbookViewId="0">
      <selection activeCell="A6" sqref="A6:I13"/>
    </sheetView>
  </sheetViews>
  <sheetFormatPr defaultRowHeight="15"/>
  <cols>
    <col min="1" max="1" width="30.85546875" customWidth="1"/>
    <col min="2" max="2" width="14" customWidth="1"/>
    <col min="3" max="4" width="16" customWidth="1"/>
    <col min="5" max="5" width="14" customWidth="1"/>
    <col min="6" max="6" width="2" customWidth="1"/>
    <col min="7" max="7" width="14" customWidth="1"/>
    <col min="8" max="9" width="16" customWidth="1"/>
    <col min="10" max="10" width="2" customWidth="1"/>
  </cols>
  <sheetData>
    <row r="1" spans="1:10" ht="26.1" customHeight="1">
      <c r="A1" s="11" t="s">
        <v>0</v>
      </c>
      <c r="B1" s="33"/>
      <c r="C1" s="33"/>
      <c r="D1" s="33"/>
      <c r="E1" s="33"/>
      <c r="F1" s="33"/>
      <c r="G1" s="33"/>
      <c r="H1" s="33"/>
      <c r="I1" s="33"/>
      <c r="J1" s="33"/>
    </row>
    <row r="2" spans="1:10">
      <c r="A2" s="15" t="s">
        <v>1</v>
      </c>
      <c r="B2" s="33"/>
      <c r="C2" s="33"/>
      <c r="D2" s="33"/>
      <c r="E2" s="33"/>
      <c r="F2" s="33"/>
      <c r="G2" s="33"/>
      <c r="H2" s="33"/>
      <c r="I2" s="33"/>
      <c r="J2" s="33"/>
    </row>
    <row r="4" spans="1:10" ht="18" customHeight="1">
      <c r="A4" s="19" t="s">
        <v>2</v>
      </c>
      <c r="B4" s="19"/>
      <c r="C4" s="19"/>
      <c r="D4" s="19"/>
      <c r="E4" s="19"/>
    </row>
    <row r="5" spans="1:10" ht="32.1" customHeight="1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G5" s="1" t="s">
        <v>8</v>
      </c>
      <c r="H5" s="1" t="s">
        <v>9</v>
      </c>
      <c r="I5" s="1" t="s">
        <v>10</v>
      </c>
    </row>
    <row r="6" spans="1:10">
      <c r="A6" s="27">
        <v>2016</v>
      </c>
      <c r="B6" s="28">
        <v>5271.21</v>
      </c>
      <c r="C6" s="28">
        <v>628.62</v>
      </c>
      <c r="D6" s="28">
        <v>655.29</v>
      </c>
      <c r="E6" s="28">
        <v>-26.67</v>
      </c>
      <c r="F6" s="29"/>
      <c r="G6" s="28">
        <v>5271.21</v>
      </c>
      <c r="H6" s="28">
        <v>628.62</v>
      </c>
      <c r="I6" s="28">
        <v>655.29</v>
      </c>
    </row>
    <row r="7" spans="1:10">
      <c r="A7" s="27">
        <v>2017</v>
      </c>
      <c r="B7" s="28">
        <v>5437.64</v>
      </c>
      <c r="C7" s="28">
        <v>627.29</v>
      </c>
      <c r="D7" s="28">
        <v>700.75</v>
      </c>
      <c r="E7" s="28">
        <v>-73.459999999999994</v>
      </c>
      <c r="F7" s="29"/>
      <c r="G7" s="28">
        <v>5437.64</v>
      </c>
      <c r="H7" s="28">
        <v>627.29</v>
      </c>
      <c r="I7" s="28">
        <v>700.75</v>
      </c>
    </row>
    <row r="8" spans="1:10">
      <c r="A8" s="27">
        <v>2018</v>
      </c>
      <c r="B8" s="28">
        <v>5534.2</v>
      </c>
      <c r="C8" s="28">
        <v>688.58</v>
      </c>
      <c r="D8" s="28">
        <v>727.13</v>
      </c>
      <c r="E8" s="28">
        <v>-38.549999999999997</v>
      </c>
      <c r="F8" s="29"/>
      <c r="G8" s="28">
        <v>5534.2</v>
      </c>
      <c r="H8" s="28">
        <v>688.58</v>
      </c>
      <c r="I8" s="28">
        <v>727.13</v>
      </c>
    </row>
    <row r="9" spans="1:10">
      <c r="A9" s="27">
        <v>2019</v>
      </c>
      <c r="B9" s="28">
        <v>5524.36</v>
      </c>
      <c r="C9" s="28">
        <v>721.27</v>
      </c>
      <c r="D9" s="28">
        <v>724.44</v>
      </c>
      <c r="E9" s="28">
        <v>-3.17</v>
      </c>
      <c r="F9" s="29"/>
      <c r="G9" s="28">
        <v>5524.36</v>
      </c>
      <c r="H9" s="28">
        <v>721.27</v>
      </c>
      <c r="I9" s="28">
        <v>724.44</v>
      </c>
    </row>
    <row r="10" spans="1:10">
      <c r="A10" s="27">
        <v>2020</v>
      </c>
      <c r="B10" s="28">
        <v>5414.45</v>
      </c>
      <c r="C10" s="28">
        <v>780.91</v>
      </c>
      <c r="D10" s="28">
        <v>694.42</v>
      </c>
      <c r="E10" s="28">
        <v>86.49</v>
      </c>
      <c r="F10" s="29"/>
      <c r="G10" s="28">
        <v>5414.45</v>
      </c>
      <c r="H10" s="28">
        <v>780.91</v>
      </c>
      <c r="I10" s="28">
        <v>694.42</v>
      </c>
    </row>
    <row r="11" spans="1:10">
      <c r="A11" s="27">
        <v>2021</v>
      </c>
      <c r="B11" s="28">
        <v>5788.25</v>
      </c>
      <c r="C11" s="28">
        <v>837.46</v>
      </c>
      <c r="D11" s="28">
        <v>796.52</v>
      </c>
      <c r="E11" s="28">
        <v>40.93</v>
      </c>
      <c r="F11" s="29"/>
      <c r="G11" s="28">
        <v>5788.25</v>
      </c>
      <c r="H11" s="28">
        <v>837.46</v>
      </c>
      <c r="I11" s="28">
        <v>796.52</v>
      </c>
    </row>
    <row r="12" spans="1:10">
      <c r="A12" s="27">
        <v>2022</v>
      </c>
      <c r="B12" s="28">
        <v>6430.54</v>
      </c>
      <c r="C12" s="28">
        <v>1031.99</v>
      </c>
      <c r="D12" s="28">
        <v>971.97</v>
      </c>
      <c r="E12" s="28">
        <v>60.03</v>
      </c>
      <c r="F12" s="29"/>
      <c r="G12" s="28">
        <v>6430.54</v>
      </c>
      <c r="H12" s="28">
        <v>1031.99</v>
      </c>
      <c r="I12" s="28">
        <v>971.97</v>
      </c>
    </row>
    <row r="13" spans="1:10">
      <c r="A13" s="27">
        <v>2023</v>
      </c>
      <c r="B13" s="28">
        <v>7024.92</v>
      </c>
      <c r="C13" s="28">
        <v>1088.71</v>
      </c>
      <c r="D13" s="28">
        <v>1134.32</v>
      </c>
      <c r="E13" s="28">
        <v>-45.61</v>
      </c>
      <c r="F13" s="29"/>
      <c r="G13" s="28">
        <v>7024.92</v>
      </c>
      <c r="H13" s="28">
        <v>1088.71</v>
      </c>
      <c r="I13" s="28">
        <v>1134.32</v>
      </c>
    </row>
    <row r="16" spans="1:10" ht="18" customHeight="1">
      <c r="A16" s="12" t="s">
        <v>11</v>
      </c>
      <c r="B16" s="12"/>
      <c r="C16" s="12"/>
      <c r="D16" s="12"/>
      <c r="E16" s="12"/>
    </row>
    <row r="17" spans="1:5">
      <c r="A17" s="2"/>
      <c r="B17" s="2" t="s">
        <v>12</v>
      </c>
      <c r="C17" s="2" t="s">
        <v>13</v>
      </c>
    </row>
    <row r="18" spans="1:5">
      <c r="A18" s="23" t="s">
        <v>14</v>
      </c>
      <c r="B18" s="24">
        <v>0.27315</v>
      </c>
      <c r="C18" s="25">
        <v>-784.54039899999998</v>
      </c>
    </row>
    <row r="19" spans="1:5">
      <c r="A19" s="23" t="s">
        <v>15</v>
      </c>
      <c r="B19" s="24">
        <v>3.7899000000000002E-2</v>
      </c>
      <c r="C19" s="26"/>
    </row>
    <row r="20" spans="1:5">
      <c r="A20" s="23" t="s">
        <v>16</v>
      </c>
      <c r="B20" s="24">
        <v>0.89645300000000006</v>
      </c>
      <c r="C20" s="26"/>
    </row>
    <row r="21" spans="1:5">
      <c r="A21" s="23" t="s">
        <v>17</v>
      </c>
      <c r="B21" s="26" t="s">
        <v>18</v>
      </c>
      <c r="C21" s="26"/>
    </row>
    <row r="22" spans="1:5">
      <c r="A22" s="23" t="s">
        <v>19</v>
      </c>
      <c r="B22" s="26"/>
      <c r="C22" s="26"/>
    </row>
    <row r="25" spans="1:5" ht="18" customHeight="1">
      <c r="A25" s="12" t="s">
        <v>20</v>
      </c>
      <c r="B25" s="12"/>
      <c r="C25" s="12"/>
      <c r="D25" s="12"/>
      <c r="E25" s="12"/>
    </row>
    <row r="26" spans="1:5" ht="30" customHeight="1">
      <c r="A26" s="30" t="s">
        <v>21</v>
      </c>
      <c r="B26" s="31" t="s">
        <v>22</v>
      </c>
      <c r="C26" s="32"/>
      <c r="D26" s="32"/>
      <c r="E26" s="32"/>
    </row>
    <row r="27" spans="1:5" ht="30" customHeight="1">
      <c r="A27" s="30" t="s">
        <v>23</v>
      </c>
      <c r="B27" s="31" t="s">
        <v>24</v>
      </c>
      <c r="C27" s="32"/>
      <c r="D27" s="32"/>
      <c r="E27" s="32"/>
    </row>
    <row r="28" spans="1:5" ht="30" customHeight="1">
      <c r="A28" s="30" t="s">
        <v>25</v>
      </c>
      <c r="B28" s="31" t="s">
        <v>26</v>
      </c>
      <c r="C28" s="32"/>
      <c r="D28" s="32"/>
      <c r="E28" s="32"/>
    </row>
    <row r="29" spans="1:5" ht="30" customHeight="1">
      <c r="A29" s="30" t="s">
        <v>27</v>
      </c>
      <c r="B29" s="31" t="s">
        <v>28</v>
      </c>
      <c r="C29" s="32"/>
      <c r="D29" s="32"/>
      <c r="E29" s="32"/>
    </row>
    <row r="30" spans="1:5" ht="30" customHeight="1">
      <c r="A30" s="30" t="s">
        <v>29</v>
      </c>
      <c r="B30" s="31" t="s">
        <v>30</v>
      </c>
      <c r="C30" s="32"/>
      <c r="D30" s="32"/>
      <c r="E30" s="32"/>
    </row>
    <row r="31" spans="1:5" ht="30" customHeight="1">
      <c r="A31" s="30" t="s">
        <v>31</v>
      </c>
      <c r="B31" s="31" t="s">
        <v>32</v>
      </c>
      <c r="C31" s="32"/>
      <c r="D31" s="32"/>
      <c r="E31" s="32"/>
    </row>
    <row r="33" spans="1:10">
      <c r="A33" s="16" t="s">
        <v>33</v>
      </c>
      <c r="B33" s="33"/>
      <c r="C33" s="33"/>
      <c r="D33" s="33"/>
      <c r="E33" s="33"/>
      <c r="F33" s="33"/>
      <c r="G33" s="33"/>
      <c r="H33" s="33"/>
      <c r="I33" s="33"/>
      <c r="J33" s="33"/>
    </row>
  </sheetData>
  <mergeCells count="12">
    <mergeCell ref="B30:E30"/>
    <mergeCell ref="B31:E31"/>
    <mergeCell ref="A2:J2"/>
    <mergeCell ref="A33:J33"/>
    <mergeCell ref="B28:E28"/>
    <mergeCell ref="B26:E26"/>
    <mergeCell ref="B27:E27"/>
    <mergeCell ref="A16:E16"/>
    <mergeCell ref="B29:E29"/>
    <mergeCell ref="A25:E25"/>
    <mergeCell ref="A1:J1"/>
    <mergeCell ref="A4:E4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5"/>
  <sheetViews>
    <sheetView showGridLines="0" workbookViewId="0">
      <selection activeCell="G18" sqref="G18"/>
    </sheetView>
  </sheetViews>
  <sheetFormatPr defaultRowHeight="15"/>
  <cols>
    <col min="1" max="1" width="23.5703125" customWidth="1"/>
    <col min="2" max="2" width="14" customWidth="1"/>
    <col min="3" max="4" width="16" customWidth="1"/>
    <col min="5" max="5" width="14" customWidth="1"/>
    <col min="6" max="6" width="2" customWidth="1"/>
    <col min="7" max="7" width="14" customWidth="1"/>
    <col min="8" max="9" width="16" customWidth="1"/>
    <col min="10" max="10" width="2" customWidth="1"/>
  </cols>
  <sheetData>
    <row r="1" spans="1:10" ht="26.1" customHeight="1">
      <c r="A1" s="11" t="s">
        <v>34</v>
      </c>
      <c r="B1" s="33"/>
      <c r="C1" s="33"/>
      <c r="D1" s="33"/>
      <c r="E1" s="33"/>
      <c r="F1" s="33"/>
      <c r="G1" s="33"/>
      <c r="H1" s="33"/>
      <c r="I1" s="33"/>
      <c r="J1" s="33"/>
    </row>
    <row r="2" spans="1:10">
      <c r="A2" s="15" t="s">
        <v>1</v>
      </c>
      <c r="B2" s="33"/>
      <c r="C2" s="33"/>
      <c r="D2" s="33"/>
      <c r="E2" s="33"/>
      <c r="F2" s="33"/>
      <c r="G2" s="33"/>
      <c r="H2" s="33"/>
      <c r="I2" s="33"/>
      <c r="J2" s="33"/>
    </row>
    <row r="4" spans="1:10" ht="18" customHeight="1">
      <c r="A4" s="17" t="s">
        <v>35</v>
      </c>
      <c r="B4" s="33"/>
      <c r="C4" s="33"/>
      <c r="D4" s="33"/>
      <c r="E4" s="33"/>
    </row>
    <row r="5" spans="1:10" ht="32.1" customHeight="1">
      <c r="A5" s="9" t="s">
        <v>3</v>
      </c>
      <c r="B5" s="9" t="s">
        <v>4</v>
      </c>
      <c r="C5" s="9" t="s">
        <v>5</v>
      </c>
      <c r="D5" s="9" t="s">
        <v>6</v>
      </c>
      <c r="E5" s="9" t="s">
        <v>7</v>
      </c>
      <c r="G5" s="9" t="s">
        <v>8</v>
      </c>
      <c r="H5" s="9" t="s">
        <v>9</v>
      </c>
      <c r="I5" s="9" t="s">
        <v>10</v>
      </c>
    </row>
    <row r="6" spans="1:10">
      <c r="A6" s="27">
        <v>2016</v>
      </c>
      <c r="B6" s="28">
        <v>5764.62</v>
      </c>
      <c r="C6" s="28">
        <v>645.15</v>
      </c>
      <c r="D6" s="28">
        <v>624.78</v>
      </c>
      <c r="E6" s="28">
        <v>20.37</v>
      </c>
      <c r="F6" s="29"/>
      <c r="G6" s="28">
        <v>5764.62</v>
      </c>
      <c r="H6" s="28">
        <v>645.15</v>
      </c>
      <c r="I6" s="28">
        <v>624.78</v>
      </c>
    </row>
    <row r="7" spans="1:10">
      <c r="A7" s="27">
        <v>2017</v>
      </c>
      <c r="B7" s="28">
        <v>5988.82</v>
      </c>
      <c r="C7" s="28">
        <v>669.78</v>
      </c>
      <c r="D7" s="28">
        <v>674.46</v>
      </c>
      <c r="E7" s="28">
        <v>-4.68</v>
      </c>
      <c r="F7" s="29"/>
      <c r="G7" s="28">
        <v>5988.82</v>
      </c>
      <c r="H7" s="28">
        <v>669.78</v>
      </c>
      <c r="I7" s="28">
        <v>674.46</v>
      </c>
    </row>
    <row r="8" spans="1:10">
      <c r="A8" s="27">
        <v>2018</v>
      </c>
      <c r="B8" s="28">
        <v>6686.07</v>
      </c>
      <c r="C8" s="28">
        <v>756.95</v>
      </c>
      <c r="D8" s="28">
        <v>828.96</v>
      </c>
      <c r="E8" s="28">
        <v>-72.010000000000005</v>
      </c>
      <c r="F8" s="29"/>
      <c r="G8" s="28">
        <v>6686.07</v>
      </c>
      <c r="H8" s="28">
        <v>756.95</v>
      </c>
      <c r="I8" s="28">
        <v>828.96</v>
      </c>
    </row>
    <row r="9" spans="1:10">
      <c r="A9" s="27">
        <v>2019</v>
      </c>
      <c r="B9" s="28">
        <v>7137.56</v>
      </c>
      <c r="C9" s="28">
        <v>843.2</v>
      </c>
      <c r="D9" s="28">
        <v>929.01</v>
      </c>
      <c r="E9" s="28">
        <v>-85.8</v>
      </c>
      <c r="F9" s="29"/>
      <c r="G9" s="28">
        <v>7137.56</v>
      </c>
      <c r="H9" s="28">
        <v>843.2</v>
      </c>
      <c r="I9" s="28">
        <v>929.01</v>
      </c>
    </row>
    <row r="10" spans="1:10">
      <c r="A10" s="27">
        <v>2020</v>
      </c>
      <c r="B10" s="28">
        <v>7079.38</v>
      </c>
      <c r="C10" s="28">
        <v>968.74</v>
      </c>
      <c r="D10" s="28">
        <v>916.12</v>
      </c>
      <c r="E10" s="28">
        <v>52.62</v>
      </c>
      <c r="F10" s="29"/>
      <c r="G10" s="28">
        <v>7079.38</v>
      </c>
      <c r="H10" s="28">
        <v>968.74</v>
      </c>
      <c r="I10" s="28">
        <v>916.12</v>
      </c>
    </row>
    <row r="11" spans="1:10">
      <c r="A11" s="27">
        <v>2021</v>
      </c>
      <c r="B11" s="28">
        <v>7994.04</v>
      </c>
      <c r="C11" s="28">
        <v>1188.5999999999999</v>
      </c>
      <c r="D11" s="28">
        <v>1118.8</v>
      </c>
      <c r="E11" s="28">
        <v>69.8</v>
      </c>
      <c r="F11" s="29"/>
      <c r="G11" s="28">
        <v>7994.04</v>
      </c>
      <c r="H11" s="28">
        <v>1188.5999999999999</v>
      </c>
      <c r="I11" s="28">
        <v>1118.8</v>
      </c>
    </row>
    <row r="12" spans="1:10">
      <c r="A12" s="27">
        <v>2022</v>
      </c>
      <c r="B12" s="28">
        <v>8834.26</v>
      </c>
      <c r="C12" s="28">
        <v>1382.08</v>
      </c>
      <c r="D12" s="28">
        <v>1304.98</v>
      </c>
      <c r="E12" s="28">
        <v>77.099999999999994</v>
      </c>
      <c r="F12" s="29"/>
      <c r="G12" s="28">
        <v>8834.26</v>
      </c>
      <c r="H12" s="28">
        <v>1382.08</v>
      </c>
      <c r="I12" s="28">
        <v>1304.98</v>
      </c>
    </row>
    <row r="13" spans="1:10">
      <c r="A13" s="27">
        <v>2023</v>
      </c>
      <c r="B13" s="28">
        <v>10577.53</v>
      </c>
      <c r="C13" s="28">
        <v>1633.88</v>
      </c>
      <c r="D13" s="28">
        <v>1691.28</v>
      </c>
      <c r="E13" s="28">
        <v>-57.4</v>
      </c>
      <c r="F13" s="29"/>
      <c r="G13" s="28">
        <v>10577.53</v>
      </c>
      <c r="H13" s="28">
        <v>1633.88</v>
      </c>
      <c r="I13" s="28">
        <v>1691.28</v>
      </c>
    </row>
    <row r="18" spans="1:5" ht="18" customHeight="1">
      <c r="A18" s="17" t="s">
        <v>36</v>
      </c>
      <c r="B18" s="33"/>
      <c r="C18" s="33"/>
      <c r="D18" s="33"/>
      <c r="E18" s="33"/>
    </row>
    <row r="19" spans="1:5">
      <c r="A19" s="22"/>
      <c r="B19" s="22" t="s">
        <v>12</v>
      </c>
      <c r="C19" s="22" t="s">
        <v>13</v>
      </c>
    </row>
    <row r="20" spans="1:5">
      <c r="A20" s="23" t="s">
        <v>14</v>
      </c>
      <c r="B20" s="24">
        <v>0.22159200000000001</v>
      </c>
      <c r="C20" s="25">
        <v>-652.620228</v>
      </c>
    </row>
    <row r="21" spans="1:5">
      <c r="A21" s="23" t="s">
        <v>15</v>
      </c>
      <c r="B21" s="24">
        <v>1.6740999999999999E-2</v>
      </c>
      <c r="C21" s="26"/>
    </row>
    <row r="22" spans="1:5">
      <c r="A22" s="23" t="s">
        <v>16</v>
      </c>
      <c r="B22" s="24">
        <v>0.966889</v>
      </c>
      <c r="C22" s="26"/>
    </row>
    <row r="23" spans="1:5">
      <c r="A23" s="23" t="s">
        <v>17</v>
      </c>
      <c r="B23" s="26" t="s">
        <v>37</v>
      </c>
      <c r="C23" s="26"/>
    </row>
    <row r="24" spans="1:5">
      <c r="A24" s="23" t="s">
        <v>19</v>
      </c>
      <c r="B24" s="26"/>
      <c r="C24" s="26"/>
    </row>
    <row r="27" spans="1:5" ht="18" customHeight="1">
      <c r="A27" s="17" t="s">
        <v>38</v>
      </c>
      <c r="B27" s="33"/>
      <c r="C27" s="33"/>
      <c r="D27" s="33"/>
      <c r="E27" s="33"/>
    </row>
    <row r="28" spans="1:5" ht="26.25" customHeight="1">
      <c r="A28" s="20" t="s">
        <v>21</v>
      </c>
      <c r="B28" s="21" t="s">
        <v>39</v>
      </c>
      <c r="C28" s="34"/>
      <c r="D28" s="34"/>
      <c r="E28" s="34"/>
    </row>
    <row r="29" spans="1:5" ht="26.25" customHeight="1">
      <c r="A29" s="20" t="s">
        <v>23</v>
      </c>
      <c r="B29" s="21" t="s">
        <v>40</v>
      </c>
      <c r="C29" s="34"/>
      <c r="D29" s="34"/>
      <c r="E29" s="34"/>
    </row>
    <row r="30" spans="1:5" ht="26.25" customHeight="1">
      <c r="A30" s="20" t="s">
        <v>25</v>
      </c>
      <c r="B30" s="21" t="s">
        <v>41</v>
      </c>
      <c r="C30" s="34"/>
      <c r="D30" s="34"/>
      <c r="E30" s="34"/>
    </row>
    <row r="31" spans="1:5" ht="26.25" customHeight="1">
      <c r="A31" s="20" t="s">
        <v>27</v>
      </c>
      <c r="B31" s="21" t="s">
        <v>42</v>
      </c>
      <c r="C31" s="34"/>
      <c r="D31" s="34"/>
      <c r="E31" s="34"/>
    </row>
    <row r="32" spans="1:5" ht="26.25" customHeight="1">
      <c r="A32" s="20" t="s">
        <v>29</v>
      </c>
      <c r="B32" s="21" t="s">
        <v>43</v>
      </c>
      <c r="C32" s="34"/>
      <c r="D32" s="34"/>
      <c r="E32" s="34"/>
    </row>
    <row r="33" spans="1:10" ht="26.25" customHeight="1">
      <c r="A33" s="20" t="s">
        <v>31</v>
      </c>
      <c r="B33" s="21" t="s">
        <v>44</v>
      </c>
      <c r="C33" s="34"/>
      <c r="D33" s="34"/>
      <c r="E33" s="34"/>
    </row>
    <row r="35" spans="1:10">
      <c r="A35" s="16"/>
      <c r="B35" s="33"/>
      <c r="C35" s="33"/>
      <c r="D35" s="33"/>
      <c r="E35" s="33"/>
      <c r="F35" s="33"/>
      <c r="G35" s="33"/>
      <c r="H35" s="33"/>
      <c r="I35" s="33"/>
      <c r="J35" s="33"/>
    </row>
  </sheetData>
  <mergeCells count="12">
    <mergeCell ref="B32:E32"/>
    <mergeCell ref="B33:E33"/>
    <mergeCell ref="A2:J2"/>
    <mergeCell ref="A35:J35"/>
    <mergeCell ref="B30:E30"/>
    <mergeCell ref="B28:E28"/>
    <mergeCell ref="B29:E29"/>
    <mergeCell ref="A18:E18"/>
    <mergeCell ref="B31:E31"/>
    <mergeCell ref="A27:E27"/>
    <mergeCell ref="A1:J1"/>
    <mergeCell ref="A4:E4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showGridLines="0" workbookViewId="0">
      <selection activeCell="K13" sqref="K13"/>
    </sheetView>
  </sheetViews>
  <sheetFormatPr defaultRowHeight="15"/>
  <cols>
    <col min="1" max="1" width="30" customWidth="1"/>
    <col min="2" max="3" width="18" customWidth="1"/>
    <col min="4" max="4" width="45" customWidth="1"/>
  </cols>
  <sheetData>
    <row r="1" spans="1:8" ht="26.1" customHeight="1">
      <c r="A1" s="11" t="s">
        <v>45</v>
      </c>
      <c r="B1" s="33"/>
      <c r="C1" s="33"/>
      <c r="D1" s="33"/>
      <c r="E1" s="33"/>
      <c r="F1" s="33"/>
      <c r="G1" s="33"/>
      <c r="H1" s="33"/>
    </row>
    <row r="2" spans="1:8">
      <c r="A2" s="15" t="s">
        <v>46</v>
      </c>
      <c r="B2" s="33"/>
      <c r="C2" s="33"/>
      <c r="D2" s="33"/>
      <c r="E2" s="33"/>
      <c r="F2" s="33"/>
      <c r="G2" s="33"/>
      <c r="H2" s="33"/>
    </row>
    <row r="4" spans="1:8" ht="29.25" customHeight="1">
      <c r="A4" s="10" t="s">
        <v>47</v>
      </c>
      <c r="B4" s="10" t="s">
        <v>48</v>
      </c>
      <c r="C4" s="10" t="s">
        <v>49</v>
      </c>
      <c r="D4" s="10" t="s">
        <v>50</v>
      </c>
    </row>
    <row r="5" spans="1:8" ht="29.25" customHeight="1">
      <c r="A5" s="3" t="s">
        <v>51</v>
      </c>
      <c r="B5" s="6" t="s">
        <v>52</v>
      </c>
      <c r="C5" s="6" t="s">
        <v>53</v>
      </c>
      <c r="D5" s="7" t="s">
        <v>54</v>
      </c>
    </row>
    <row r="6" spans="1:8" ht="29.25" customHeight="1">
      <c r="A6" s="4" t="s">
        <v>55</v>
      </c>
      <c r="B6" s="5" t="s">
        <v>56</v>
      </c>
      <c r="C6" s="5" t="s">
        <v>57</v>
      </c>
      <c r="D6" s="8" t="s">
        <v>58</v>
      </c>
    </row>
    <row r="7" spans="1:8" ht="29.25" customHeight="1">
      <c r="A7" s="3" t="s">
        <v>59</v>
      </c>
      <c r="B7" s="6" t="s">
        <v>60</v>
      </c>
      <c r="C7" s="6" t="s">
        <v>61</v>
      </c>
      <c r="D7" s="7" t="s">
        <v>62</v>
      </c>
    </row>
    <row r="8" spans="1:8" ht="29.25" customHeight="1">
      <c r="A8" s="4" t="s">
        <v>29</v>
      </c>
      <c r="B8" s="5" t="s">
        <v>63</v>
      </c>
      <c r="C8" s="5" t="s">
        <v>64</v>
      </c>
      <c r="D8" s="8" t="s">
        <v>65</v>
      </c>
    </row>
    <row r="9" spans="1:8" ht="29.25" customHeight="1">
      <c r="A9" s="3" t="s">
        <v>66</v>
      </c>
      <c r="B9" s="6" t="s">
        <v>67</v>
      </c>
      <c r="C9" s="6" t="s">
        <v>68</v>
      </c>
      <c r="D9" s="7" t="s">
        <v>69</v>
      </c>
    </row>
    <row r="10" spans="1:8" ht="29.25" customHeight="1">
      <c r="A10" s="4" t="s">
        <v>70</v>
      </c>
      <c r="B10" s="5" t="s">
        <v>71</v>
      </c>
      <c r="C10" s="5" t="s">
        <v>72</v>
      </c>
      <c r="D10" s="8" t="s">
        <v>73</v>
      </c>
    </row>
    <row r="13" spans="1:8" ht="18" customHeight="1">
      <c r="A13" s="18" t="s">
        <v>74</v>
      </c>
      <c r="B13" s="33"/>
      <c r="C13" s="33"/>
      <c r="D13" s="33"/>
      <c r="E13" s="33"/>
      <c r="F13" s="33"/>
      <c r="G13" s="33"/>
      <c r="H13" s="33"/>
    </row>
    <row r="14" spans="1:8" ht="18" customHeight="1">
      <c r="A14" s="14" t="s">
        <v>75</v>
      </c>
      <c r="B14" s="33"/>
      <c r="C14" s="33"/>
      <c r="D14" s="33"/>
      <c r="E14" s="33"/>
      <c r="F14" s="33"/>
      <c r="G14" s="33"/>
      <c r="H14" s="33"/>
    </row>
    <row r="15" spans="1:8" ht="18" customHeight="1">
      <c r="A15" s="13" t="s">
        <v>76</v>
      </c>
      <c r="B15" s="33"/>
      <c r="C15" s="33"/>
      <c r="D15" s="33"/>
      <c r="E15" s="33"/>
      <c r="F15" s="33"/>
      <c r="G15" s="33"/>
      <c r="H15" s="33"/>
    </row>
    <row r="16" spans="1:8" ht="18" customHeight="1">
      <c r="A16" s="14" t="s">
        <v>77</v>
      </c>
      <c r="B16" s="33"/>
      <c r="C16" s="33"/>
      <c r="D16" s="33"/>
      <c r="E16" s="33"/>
      <c r="F16" s="33"/>
      <c r="G16" s="33"/>
      <c r="H16" s="33"/>
    </row>
    <row r="17" spans="1:8" ht="18" customHeight="1">
      <c r="A17" s="13" t="s">
        <v>78</v>
      </c>
      <c r="B17" s="33"/>
      <c r="C17" s="33"/>
      <c r="D17" s="33"/>
      <c r="E17" s="33"/>
      <c r="F17" s="33"/>
      <c r="G17" s="33"/>
      <c r="H17" s="33"/>
    </row>
    <row r="18" spans="1:8" ht="18" customHeight="1">
      <c r="A18" s="14" t="s">
        <v>79</v>
      </c>
      <c r="B18" s="33"/>
      <c r="C18" s="33"/>
      <c r="D18" s="33"/>
      <c r="E18" s="33"/>
      <c r="F18" s="33"/>
      <c r="G18" s="33"/>
      <c r="H18" s="33"/>
    </row>
    <row r="19" spans="1:8" ht="18" customHeight="1">
      <c r="A19" s="13" t="s">
        <v>80</v>
      </c>
      <c r="B19" s="33"/>
      <c r="C19" s="33"/>
      <c r="D19" s="33"/>
      <c r="E19" s="33"/>
      <c r="F19" s="33"/>
      <c r="G19" s="33"/>
      <c r="H19" s="33"/>
    </row>
    <row r="21" spans="1:8">
      <c r="A21" s="16" t="s">
        <v>81</v>
      </c>
      <c r="B21" s="33"/>
      <c r="C21" s="33"/>
      <c r="D21" s="33"/>
      <c r="E21" s="33"/>
      <c r="F21" s="33"/>
      <c r="G21" s="33"/>
      <c r="H21" s="33"/>
    </row>
  </sheetData>
  <mergeCells count="10">
    <mergeCell ref="A1:H1"/>
    <mergeCell ref="A17:H17"/>
    <mergeCell ref="A18:H18"/>
    <mergeCell ref="A21:H21"/>
    <mergeCell ref="A15:H15"/>
    <mergeCell ref="A2:H2"/>
    <mergeCell ref="A16:H16"/>
    <mergeCell ref="A13:H13"/>
    <mergeCell ref="A14:H14"/>
    <mergeCell ref="A19:H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2026-05-07T02:04:55Z</dcterms:created>
  <dcterms:modified xsi:type="dcterms:W3CDTF">2026-05-07T03:06:03Z</dcterms:modified>
  <cp:category/>
  <cp:contentStatus/>
</cp:coreProperties>
</file>