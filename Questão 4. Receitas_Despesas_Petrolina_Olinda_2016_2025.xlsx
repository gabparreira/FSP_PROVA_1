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898C0341-9C41-475F-8094-21FC3011432F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Olinda" sheetId="1" r:id="rId1"/>
    <sheet name="Petrolina" sheetId="2" r:id="rId2"/>
    <sheet name="Comparativo" sheetId="3" r:id="rId3"/>
    <sheet name="Gráfic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5" i="3"/>
  <c r="J6" i="3"/>
  <c r="J7" i="3"/>
  <c r="J8" i="3"/>
  <c r="J9" i="3"/>
  <c r="J10" i="3"/>
  <c r="J11" i="3"/>
  <c r="J12" i="3"/>
  <c r="J13" i="3"/>
  <c r="J14" i="3"/>
  <c r="J5" i="3"/>
  <c r="I8" i="3"/>
  <c r="I9" i="3"/>
  <c r="I10" i="3"/>
  <c r="I11" i="3"/>
  <c r="I12" i="3"/>
  <c r="I13" i="3"/>
  <c r="I14" i="3"/>
  <c r="I6" i="3"/>
  <c r="I7" i="3"/>
  <c r="I5" i="3"/>
  <c r="G5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J9" i="1"/>
  <c r="I9" i="1"/>
  <c r="H9" i="1"/>
  <c r="G9" i="1"/>
  <c r="F9" i="1"/>
  <c r="J8" i="1"/>
  <c r="I8" i="1"/>
  <c r="H8" i="1"/>
  <c r="G8" i="1"/>
  <c r="F8" i="1"/>
  <c r="J7" i="1"/>
  <c r="I7" i="1"/>
  <c r="H7" i="1"/>
  <c r="G7" i="1"/>
  <c r="F7" i="1"/>
  <c r="J6" i="1"/>
  <c r="I6" i="1"/>
  <c r="H6" i="1"/>
  <c r="G6" i="1"/>
  <c r="F6" i="1"/>
  <c r="J5" i="1"/>
  <c r="I5" i="1"/>
  <c r="H5" i="1"/>
  <c r="F5" i="1"/>
  <c r="J4" i="1"/>
  <c r="I4" i="1"/>
  <c r="F4" i="1"/>
  <c r="F5" i="2"/>
  <c r="F6" i="2"/>
  <c r="F7" i="2"/>
  <c r="F8" i="2"/>
  <c r="F9" i="2"/>
  <c r="F10" i="2"/>
  <c r="F11" i="2"/>
  <c r="F12" i="2"/>
  <c r="F13" i="2"/>
  <c r="F4" i="2"/>
  <c r="H8" i="2"/>
  <c r="H9" i="2"/>
  <c r="H10" i="2"/>
  <c r="H11" i="2"/>
  <c r="H12" i="2"/>
  <c r="H13" i="2"/>
  <c r="H6" i="2"/>
  <c r="H7" i="2"/>
  <c r="H5" i="2"/>
  <c r="G6" i="2"/>
  <c r="G7" i="2"/>
  <c r="G8" i="2"/>
  <c r="G9" i="2"/>
  <c r="G10" i="2"/>
  <c r="G11" i="2"/>
  <c r="G12" i="2"/>
  <c r="G13" i="2"/>
  <c r="G5" i="2"/>
  <c r="I5" i="2"/>
  <c r="I6" i="2"/>
  <c r="I7" i="2"/>
  <c r="I8" i="2"/>
  <c r="I9" i="2"/>
  <c r="I10" i="2"/>
  <c r="I11" i="2"/>
  <c r="I12" i="2"/>
  <c r="I13" i="2"/>
  <c r="I4" i="2"/>
  <c r="J5" i="2"/>
  <c r="J6" i="2"/>
  <c r="J7" i="2"/>
  <c r="J8" i="2"/>
  <c r="J9" i="2"/>
  <c r="J10" i="2"/>
  <c r="J11" i="2"/>
  <c r="J12" i="2"/>
  <c r="J13" i="2"/>
  <c r="J4" i="2"/>
</calcChain>
</file>

<file path=xl/sharedStrings.xml><?xml version="1.0" encoding="utf-8"?>
<sst xmlns="http://schemas.openxmlformats.org/spreadsheetml/2006/main" count="82" uniqueCount="35">
  <si>
    <t>EVOLUÇÃO DE RECEITAS E DESPESAS — OLINDA (PE)</t>
  </si>
  <si>
    <t>Valores em R$ milhões — Preços reais de 2016 (deflacionados pelo IPCA/IBGE)</t>
  </si>
  <si>
    <t>Ano</t>
  </si>
  <si>
    <t>Receita Nominal
(R$ mi)</t>
  </si>
  <si>
    <t>Despesa Nominal
(R$ mi)</t>
  </si>
  <si>
    <t>Receita Real
(R$ mi)</t>
  </si>
  <si>
    <t>Despesa Real
(R$ mi)</t>
  </si>
  <si>
    <t>Saldo Real
(R$ mi)</t>
  </si>
  <si>
    <t>Var. Receita
Real (%)</t>
  </si>
  <si>
    <t>Var. Despesa
Real (%)</t>
  </si>
  <si>
    <t>Receita/Desp.
(Índice)</t>
  </si>
  <si>
    <t>IPCA
(fator)</t>
  </si>
  <si>
    <t>Situação</t>
  </si>
  <si>
    <t>-</t>
  </si>
  <si>
    <t>Superávit ✓</t>
  </si>
  <si>
    <t>MÉDIA DO PERÍODO (valores reais)</t>
  </si>
  <si>
    <t xml:space="preserve">Fonte: SICONFI/STN — Finanças Públicas Municipais. Deflator: IPCA/IBGE (base 2016=1,0000). </t>
  </si>
  <si>
    <t>EVOLUÇÃO DE RECEITAS E DESPESAS — PETROLINA (PE)</t>
  </si>
  <si>
    <t>COMPARATIVO — OLINDA × PETROLINA  |  Valores Reais em R$ milhões (base 2016)</t>
  </si>
  <si>
    <t>Referência</t>
  </si>
  <si>
    <t>OLINDA</t>
  </si>
  <si>
    <t>PETROLINA</t>
  </si>
  <si>
    <t>DIFERENÇA (PET − OLI)</t>
  </si>
  <si>
    <t>RAZÃO (PET / OLI)</t>
  </si>
  <si>
    <t>Receita</t>
  </si>
  <si>
    <t>Despesa</t>
  </si>
  <si>
    <t>Saldo</t>
  </si>
  <si>
    <t xml:space="preserve">Fonte: SICONFI/STN. Deflator: IPCA/IBGE. </t>
  </si>
  <si>
    <t>DADOS PARA GRÁFICOS — Receitas e Despesas Reais (R$ mi, base 2016)</t>
  </si>
  <si>
    <t>Olinda Receita</t>
  </si>
  <si>
    <t>Olinda Despesa</t>
  </si>
  <si>
    <t>Olinda Saldo</t>
  </si>
  <si>
    <t>Petrolina Receita</t>
  </si>
  <si>
    <t>Petrolina Despesa</t>
  </si>
  <si>
    <t>Petrolina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</si>
</sst>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"/>
    <numFmt numFmtId="167" formatCode="0.00&quot;x&quot;"/>
  </numFmts>
  <fonts count="10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10"/>
      <name val="Arial"/>
    </font>
    <font>
      <b/>
      <sz val="10"/>
      <color rgb="FF70AD47"/>
      <name val="Arial"/>
    </font>
    <font>
      <b/>
      <sz val="10"/>
      <color rgb="FFFFFFFF"/>
      <name val="Arial"/>
    </font>
    <font>
      <i/>
      <sz val="8"/>
      <color rgb="FF595959"/>
      <name val="Arial"/>
    </font>
    <font>
      <b/>
      <sz val="12"/>
      <color rgb="FFFFFFFF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0" fontId="0" fillId="0" borderId="0" xfId="0" applyNumberFormat="1"/>
    <xf numFmtId="49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right"/>
    </xf>
    <xf numFmtId="4" fontId="5" fillId="0" borderId="1" xfId="0" applyNumberFormat="1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165" fontId="4" fillId="0" borderId="1" xfId="0" applyNumberFormat="1" applyFont="1" applyFill="1" applyBorder="1" applyAlignment="1">
      <alignment horizontal="right"/>
    </xf>
    <xf numFmtId="166" fontId="4" fillId="0" borderId="1" xfId="0" applyNumberFormat="1" applyFont="1" applyFill="1" applyBorder="1" applyAlignment="1">
      <alignment horizontal="right"/>
    </xf>
    <xf numFmtId="49" fontId="5" fillId="0" borderId="1" xfId="0" applyNumberFormat="1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Comparativo — Receita Real: Olinda vs Petrolina</a:t>
            </a:r>
          </a:p>
        </c:rich>
      </c:tx>
      <c:layout>
        <c:manualLayout>
          <c:xMode val="edge"/>
          <c:yMode val="edge"/>
          <c:x val="0.32953609643030646"/>
          <c:y val="5.732638888888888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Gráficos!B3</c:f>
              <c:strCache>
                <c:ptCount val="1"/>
                <c:pt idx="0">
                  <c:v>Olinda Receita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70C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Gráficos!$A$4:$A$13</c:f>
              <c:numCache>
                <c:formatCode>@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Gráficos!$B$4:$B$13</c:f>
              <c:numCache>
                <c:formatCode>#,##0.00</c:formatCode>
                <c:ptCount val="10"/>
                <c:pt idx="0">
                  <c:v>628.62</c:v>
                </c:pt>
                <c:pt idx="1">
                  <c:v>609.32000000000005</c:v>
                </c:pt>
                <c:pt idx="2">
                  <c:v>645.28</c:v>
                </c:pt>
                <c:pt idx="3">
                  <c:v>650.08000000000004</c:v>
                </c:pt>
                <c:pt idx="4">
                  <c:v>676.7</c:v>
                </c:pt>
                <c:pt idx="5">
                  <c:v>662.49</c:v>
                </c:pt>
                <c:pt idx="6">
                  <c:v>735.88</c:v>
                </c:pt>
                <c:pt idx="7">
                  <c:v>729.65</c:v>
                </c:pt>
                <c:pt idx="8">
                  <c:v>781.92</c:v>
                </c:pt>
                <c:pt idx="9">
                  <c:v>766.29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2-479C-9C20-EEB6E4BC9C7C}"/>
            </c:ext>
          </c:extLst>
        </c:ser>
        <c:ser>
          <c:idx val="1"/>
          <c:order val="1"/>
          <c:tx>
            <c:strRef>
              <c:f>Gráficos!E3</c:f>
              <c:strCache>
                <c:ptCount val="1"/>
                <c:pt idx="0">
                  <c:v>Petrolina Receita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Gráficos!$A$4:$A$13</c:f>
              <c:numCache>
                <c:formatCode>@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Gráficos!$E$4:$E$13</c:f>
              <c:numCache>
                <c:formatCode>#,##0.00</c:formatCode>
                <c:ptCount val="10"/>
                <c:pt idx="0">
                  <c:v>645.15</c:v>
                </c:pt>
                <c:pt idx="1">
                  <c:v>650.59</c:v>
                </c:pt>
                <c:pt idx="2">
                  <c:v>709.35</c:v>
                </c:pt>
                <c:pt idx="3">
                  <c:v>759.99</c:v>
                </c:pt>
                <c:pt idx="4">
                  <c:v>839.46</c:v>
                </c:pt>
                <c:pt idx="5">
                  <c:v>940.27</c:v>
                </c:pt>
                <c:pt idx="6">
                  <c:v>985.51</c:v>
                </c:pt>
                <c:pt idx="7">
                  <c:v>1095.02</c:v>
                </c:pt>
                <c:pt idx="8">
                  <c:v>1128.0999999999999</c:v>
                </c:pt>
                <c:pt idx="9">
                  <c:v>1200.58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2-479C-9C20-EEB6E4BC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Ano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 milhões</a:t>
                </a:r>
              </a:p>
            </c:rich>
          </c:tx>
          <c:layout>
            <c:manualLayout>
              <c:xMode val="edge"/>
              <c:yMode val="edge"/>
              <c:x val="1.6917327341407235E-2"/>
              <c:y val="0.35599308247036404"/>
            </c:manualLayout>
          </c:layout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8358069649898648"/>
          <c:y val="0.16946804882685348"/>
          <c:w val="0.13818446969696971"/>
          <c:h val="0.10632083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Comparativo — Despesa Real: Olinda vs Petrolina</a:t>
            </a:r>
          </a:p>
        </c:rich>
      </c:tx>
      <c:layout>
        <c:manualLayout>
          <c:xMode val="edge"/>
          <c:yMode val="edge"/>
          <c:x val="0.33938585858585857"/>
          <c:y val="6.835072135925295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Gráficos!C3</c:f>
              <c:strCache>
                <c:ptCount val="1"/>
                <c:pt idx="0">
                  <c:v>Olinda Despesa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70C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Gráficos!$A$4:$A$13</c:f>
              <c:numCache>
                <c:formatCode>@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Gráficos!$C$4:$C$13</c:f>
              <c:numCache>
                <c:formatCode>#,##0.00</c:formatCode>
                <c:ptCount val="10"/>
                <c:pt idx="0">
                  <c:v>569.80999999999995</c:v>
                </c:pt>
                <c:pt idx="1">
                  <c:v>548.08000000000004</c:v>
                </c:pt>
                <c:pt idx="2">
                  <c:v>594.70000000000005</c:v>
                </c:pt>
                <c:pt idx="3">
                  <c:v>610.11</c:v>
                </c:pt>
                <c:pt idx="4">
                  <c:v>580.92999999999995</c:v>
                </c:pt>
                <c:pt idx="5">
                  <c:v>587.79</c:v>
                </c:pt>
                <c:pt idx="6">
                  <c:v>651.11</c:v>
                </c:pt>
                <c:pt idx="7">
                  <c:v>690.79</c:v>
                </c:pt>
                <c:pt idx="8">
                  <c:v>726.42</c:v>
                </c:pt>
                <c:pt idx="9">
                  <c:v>686.04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E-40B6-8582-D61EA79C1290}"/>
            </c:ext>
          </c:extLst>
        </c:ser>
        <c:ser>
          <c:idx val="1"/>
          <c:order val="1"/>
          <c:tx>
            <c:strRef>
              <c:f>Gráficos!F3</c:f>
              <c:strCache>
                <c:ptCount val="1"/>
                <c:pt idx="0">
                  <c:v>Petrolina Despesa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Gráficos!$A$4:$A$13</c:f>
              <c:numCache>
                <c:formatCode>@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Gráficos!$F$4:$F$13</c:f>
              <c:numCache>
                <c:formatCode>#,##0.00</c:formatCode>
                <c:ptCount val="10"/>
                <c:pt idx="0">
                  <c:v>581.09</c:v>
                </c:pt>
                <c:pt idx="1">
                  <c:v>572.85</c:v>
                </c:pt>
                <c:pt idx="2">
                  <c:v>664.29</c:v>
                </c:pt>
                <c:pt idx="3">
                  <c:v>730.35</c:v>
                </c:pt>
                <c:pt idx="4">
                  <c:v>727.8</c:v>
                </c:pt>
                <c:pt idx="5">
                  <c:v>828.23</c:v>
                </c:pt>
                <c:pt idx="6">
                  <c:v>902.47</c:v>
                </c:pt>
                <c:pt idx="7">
                  <c:v>962.62</c:v>
                </c:pt>
                <c:pt idx="8">
                  <c:v>1024.22</c:v>
                </c:pt>
                <c:pt idx="9">
                  <c:v>1145.3800000000001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E-40B6-8582-D61EA79C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Ano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 milhões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103156565656553"/>
          <c:y val="5.7461124568515348E-2"/>
          <c:w val="0.14447032828282827"/>
          <c:h val="0.10632083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123825</xdr:colOff>
      <xdr:row>0</xdr:row>
      <xdr:rowOff>209550</xdr:rowOff>
    </xdr:from>
    <xdr:ext cx="792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76200</xdr:colOff>
      <xdr:row>23</xdr:row>
      <xdr:rowOff>95250</xdr:rowOff>
    </xdr:from>
    <xdr:ext cx="792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workbookViewId="0">
      <selection activeCell="E18" sqref="E18"/>
    </sheetView>
  </sheetViews>
  <sheetFormatPr defaultRowHeight="15"/>
  <cols>
    <col min="1" max="1" width="8" customWidth="1"/>
    <col min="2" max="5" width="18" customWidth="1"/>
    <col min="6" max="6" width="16" customWidth="1"/>
    <col min="7" max="9" width="14" customWidth="1"/>
    <col min="10" max="10" width="10" customWidth="1"/>
    <col min="11" max="11" width="14" customWidth="1"/>
  </cols>
  <sheetData>
    <row r="1" spans="1:11" ht="26.1" customHeight="1">
      <c r="A1" s="1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>
      <c r="A2" s="1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33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>
      <c r="A4" s="20">
        <v>2016</v>
      </c>
      <c r="B4" s="21">
        <v>628.62433708000003</v>
      </c>
      <c r="C4" s="21">
        <v>569.80938945000003</v>
      </c>
      <c r="D4" s="21">
        <v>628.62433708000003</v>
      </c>
      <c r="E4" s="21">
        <v>569.80938945000003</v>
      </c>
      <c r="F4" s="22">
        <f>D4-E4</f>
        <v>58.814947630000006</v>
      </c>
      <c r="G4" s="23" t="s">
        <v>13</v>
      </c>
      <c r="H4" s="23" t="s">
        <v>13</v>
      </c>
      <c r="I4" s="24">
        <f>B4/C4</f>
        <v>1.1032186354225757</v>
      </c>
      <c r="J4" s="25">
        <f>B4/D4</f>
        <v>1</v>
      </c>
      <c r="K4" s="26" t="s">
        <v>14</v>
      </c>
    </row>
    <row r="5" spans="1:11">
      <c r="A5" s="20">
        <v>2017</v>
      </c>
      <c r="B5" s="21">
        <v>627.29210974</v>
      </c>
      <c r="C5" s="21">
        <v>564.24643641</v>
      </c>
      <c r="D5" s="21">
        <v>609.31725084021366</v>
      </c>
      <c r="E5" s="21">
        <v>548.07813152986887</v>
      </c>
      <c r="F5" s="22">
        <f t="shared" ref="F5:F13" si="0">D5-E5</f>
        <v>61.23911931034479</v>
      </c>
      <c r="G5" s="23">
        <f>(D5/D4)-1</f>
        <v>-3.0713233804260609E-2</v>
      </c>
      <c r="H5" s="23">
        <f>(E5/E4)-1</f>
        <v>-3.8137767334980088E-2</v>
      </c>
      <c r="I5" s="24">
        <f t="shared" ref="I5:I13" si="1">B5/C5</f>
        <v>1.1117342871159739</v>
      </c>
      <c r="J5" s="25">
        <f t="shared" ref="J5:J13" si="2">B5/D5</f>
        <v>1.0295000000000001</v>
      </c>
      <c r="K5" s="26" t="s">
        <v>14</v>
      </c>
    </row>
    <row r="6" spans="1:11">
      <c r="A6" s="20">
        <v>2018</v>
      </c>
      <c r="B6" s="21">
        <v>688.58177813999998</v>
      </c>
      <c r="C6" s="21">
        <v>634.60859335999999</v>
      </c>
      <c r="D6" s="21">
        <v>645.2832706775373</v>
      </c>
      <c r="E6" s="21">
        <v>594.70395779214709</v>
      </c>
      <c r="F6" s="22">
        <f t="shared" si="0"/>
        <v>50.579312885390209</v>
      </c>
      <c r="G6" s="23">
        <f t="shared" ref="G6:H13" si="3">(D6/D5)-1</f>
        <v>5.9026754597426123E-2</v>
      </c>
      <c r="H6" s="23">
        <f t="shared" si="3"/>
        <v>8.5071495431007227E-2</v>
      </c>
      <c r="I6" s="24">
        <f t="shared" si="1"/>
        <v>1.0850495649518919</v>
      </c>
      <c r="J6" s="25">
        <f t="shared" si="2"/>
        <v>1.0670999999999999</v>
      </c>
      <c r="K6" s="26" t="s">
        <v>14</v>
      </c>
    </row>
    <row r="7" spans="1:11">
      <c r="A7" s="20">
        <v>2019</v>
      </c>
      <c r="B7" s="21">
        <v>721.26638520000006</v>
      </c>
      <c r="C7" s="21">
        <v>676.91969888999995</v>
      </c>
      <c r="D7" s="21">
        <v>650.08236611086079</v>
      </c>
      <c r="E7" s="21">
        <v>610.1123919693556</v>
      </c>
      <c r="F7" s="22">
        <f t="shared" si="0"/>
        <v>39.96997414150519</v>
      </c>
      <c r="G7" s="23">
        <f t="shared" si="3"/>
        <v>7.4371917751479E-3</v>
      </c>
      <c r="H7" s="23">
        <f t="shared" si="3"/>
        <v>2.5909419258638655E-2</v>
      </c>
      <c r="I7" s="24">
        <f t="shared" si="1"/>
        <v>1.0655124771560334</v>
      </c>
      <c r="J7" s="25">
        <f t="shared" si="2"/>
        <v>1.1094999999999999</v>
      </c>
      <c r="K7" s="26" t="s">
        <v>14</v>
      </c>
    </row>
    <row r="8" spans="1:11">
      <c r="A8" s="20">
        <v>2020</v>
      </c>
      <c r="B8" s="21">
        <v>780.91407366999999</v>
      </c>
      <c r="C8" s="21">
        <v>670.39796037999997</v>
      </c>
      <c r="D8" s="21">
        <v>676.70197025129983</v>
      </c>
      <c r="E8" s="21">
        <v>580.93410778162922</v>
      </c>
      <c r="F8" s="22">
        <f t="shared" si="0"/>
        <v>95.767862469670604</v>
      </c>
      <c r="G8" s="23">
        <f t="shared" si="3"/>
        <v>4.0948048321463704E-2</v>
      </c>
      <c r="H8" s="23">
        <f t="shared" si="3"/>
        <v>-4.7824441155084663E-2</v>
      </c>
      <c r="I8" s="24">
        <f t="shared" si="1"/>
        <v>1.1648515058538609</v>
      </c>
      <c r="J8" s="25">
        <f t="shared" si="2"/>
        <v>1.1539999999999999</v>
      </c>
      <c r="K8" s="26" t="s">
        <v>14</v>
      </c>
    </row>
    <row r="9" spans="1:11">
      <c r="A9" s="20">
        <v>2021</v>
      </c>
      <c r="B9" s="21">
        <v>837.45730408000009</v>
      </c>
      <c r="C9" s="21">
        <v>743.02653765999992</v>
      </c>
      <c r="D9" s="21">
        <v>662.49292309152759</v>
      </c>
      <c r="E9" s="21">
        <v>587.79094823194362</v>
      </c>
      <c r="F9" s="22">
        <f t="shared" si="0"/>
        <v>74.70197485958397</v>
      </c>
      <c r="G9" s="23">
        <f t="shared" si="3"/>
        <v>-2.0997496363865387E-2</v>
      </c>
      <c r="H9" s="23">
        <f t="shared" si="3"/>
        <v>1.1803129405670632E-2</v>
      </c>
      <c r="I9" s="24">
        <f t="shared" si="1"/>
        <v>1.1270893590387623</v>
      </c>
      <c r="J9" s="25">
        <f t="shared" si="2"/>
        <v>1.2641</v>
      </c>
      <c r="K9" s="26" t="s">
        <v>14</v>
      </c>
    </row>
    <row r="10" spans="1:11">
      <c r="A10" s="20">
        <v>2022</v>
      </c>
      <c r="B10" s="21">
        <v>1031.9936368399999</v>
      </c>
      <c r="C10" s="21">
        <v>913.11865408000006</v>
      </c>
      <c r="D10" s="21">
        <v>735.8768089275527</v>
      </c>
      <c r="E10" s="21">
        <v>651.11141905305192</v>
      </c>
      <c r="F10" s="22">
        <f t="shared" si="0"/>
        <v>84.765389874500784</v>
      </c>
      <c r="G10" s="23">
        <f t="shared" si="3"/>
        <v>0.11076931281556757</v>
      </c>
      <c r="H10" s="23">
        <f t="shared" si="3"/>
        <v>0.10772617545672358</v>
      </c>
      <c r="I10" s="24">
        <f t="shared" si="1"/>
        <v>1.1301856907958701</v>
      </c>
      <c r="J10" s="25">
        <f t="shared" si="2"/>
        <v>1.4024000000000001</v>
      </c>
      <c r="K10" s="26" t="s">
        <v>14</v>
      </c>
    </row>
    <row r="11" spans="1:11">
      <c r="A11" s="20">
        <v>2023</v>
      </c>
      <c r="B11" s="21">
        <v>1088.7122530900001</v>
      </c>
      <c r="C11" s="21">
        <v>1030.72827689</v>
      </c>
      <c r="D11" s="21">
        <v>729.65099731251257</v>
      </c>
      <c r="E11" s="21">
        <v>690.79034708799679</v>
      </c>
      <c r="F11" s="22">
        <f t="shared" si="0"/>
        <v>38.86065022451578</v>
      </c>
      <c r="G11" s="23">
        <f t="shared" si="3"/>
        <v>-8.4603992672543926E-3</v>
      </c>
      <c r="H11" s="23">
        <f t="shared" si="3"/>
        <v>6.0940304337853801E-2</v>
      </c>
      <c r="I11" s="24">
        <f t="shared" si="1"/>
        <v>1.0562553463410884</v>
      </c>
      <c r="J11" s="25">
        <f t="shared" si="2"/>
        <v>1.4921000000000002</v>
      </c>
      <c r="K11" s="26" t="s">
        <v>14</v>
      </c>
    </row>
    <row r="12" spans="1:11">
      <c r="A12" s="20">
        <v>2024</v>
      </c>
      <c r="B12" s="21">
        <v>1231.4522346599999</v>
      </c>
      <c r="C12" s="21">
        <v>1144.0430715699999</v>
      </c>
      <c r="D12" s="21">
        <v>781.92408067813835</v>
      </c>
      <c r="E12" s="21">
        <v>726.42267545240963</v>
      </c>
      <c r="F12" s="22">
        <f t="shared" si="0"/>
        <v>55.501405225728718</v>
      </c>
      <c r="G12" s="23">
        <f t="shared" si="3"/>
        <v>7.1641214166993095E-2</v>
      </c>
      <c r="H12" s="23">
        <f t="shared" si="3"/>
        <v>5.1581972033366785E-2</v>
      </c>
      <c r="I12" s="24">
        <f t="shared" si="1"/>
        <v>1.0764037344940571</v>
      </c>
      <c r="J12" s="25">
        <f t="shared" si="2"/>
        <v>1.5748999999999997</v>
      </c>
      <c r="K12" s="26" t="s">
        <v>14</v>
      </c>
    </row>
    <row r="13" spans="1:11">
      <c r="A13" s="20">
        <v>2025</v>
      </c>
      <c r="B13" s="21">
        <v>1246.75326913</v>
      </c>
      <c r="C13" s="21">
        <v>1116.1912031500001</v>
      </c>
      <c r="D13" s="21">
        <v>766.28965527350965</v>
      </c>
      <c r="E13" s="21">
        <v>686.04253420405666</v>
      </c>
      <c r="F13" s="22">
        <f t="shared" si="0"/>
        <v>80.247121069452987</v>
      </c>
      <c r="G13" s="23">
        <f t="shared" si="3"/>
        <v>-1.9994812528435602E-2</v>
      </c>
      <c r="H13" s="23">
        <f t="shared" si="3"/>
        <v>-5.5587666262213786E-2</v>
      </c>
      <c r="I13" s="24">
        <f t="shared" si="1"/>
        <v>1.1169710580154557</v>
      </c>
      <c r="J13" s="25">
        <f t="shared" si="2"/>
        <v>1.6269999999999998</v>
      </c>
      <c r="K13" s="26" t="s">
        <v>14</v>
      </c>
    </row>
    <row r="14" spans="1:11">
      <c r="A14" s="12" t="s">
        <v>15</v>
      </c>
      <c r="B14" s="29"/>
      <c r="C14" s="29"/>
      <c r="D14" s="2">
        <v>688.62436602431524</v>
      </c>
      <c r="E14" s="2">
        <v>624.57959025524588</v>
      </c>
      <c r="F14" s="2">
        <v>64.044775769069318</v>
      </c>
      <c r="G14" s="3"/>
      <c r="H14" s="3"/>
      <c r="I14" s="3"/>
      <c r="J14" s="3"/>
      <c r="K14" s="3"/>
    </row>
    <row r="16" spans="1:11">
      <c r="A16" s="30" t="s">
        <v>16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</sheetData>
  <mergeCells count="4">
    <mergeCell ref="A2:K2"/>
    <mergeCell ref="A16:K16"/>
    <mergeCell ref="A1:K1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showGridLines="0" workbookViewId="0">
      <selection activeCell="F4" sqref="F4:J13"/>
    </sheetView>
  </sheetViews>
  <sheetFormatPr defaultRowHeight="15"/>
  <cols>
    <col min="1" max="1" width="8" customWidth="1"/>
    <col min="2" max="5" width="18" customWidth="1"/>
    <col min="6" max="6" width="16" customWidth="1"/>
    <col min="7" max="9" width="14" customWidth="1"/>
    <col min="10" max="10" width="10" customWidth="1"/>
    <col min="11" max="11" width="14" customWidth="1"/>
  </cols>
  <sheetData>
    <row r="1" spans="1:12" ht="26.1" customHeight="1">
      <c r="A1" s="11" t="s">
        <v>17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>
      <c r="A2" s="1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ht="33.950000000000003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2">
      <c r="A4" s="20">
        <v>2016</v>
      </c>
      <c r="B4" s="21">
        <v>645.14673848000007</v>
      </c>
      <c r="C4" s="21">
        <v>581.09099680999998</v>
      </c>
      <c r="D4" s="21">
        <v>645.14673848000007</v>
      </c>
      <c r="E4" s="21">
        <v>581.09099680999998</v>
      </c>
      <c r="F4" s="22">
        <f>D4-E4</f>
        <v>64.055741670000089</v>
      </c>
      <c r="G4" s="23" t="s">
        <v>13</v>
      </c>
      <c r="H4" s="23" t="s">
        <v>13</v>
      </c>
      <c r="I4" s="24">
        <f>B4/C4</f>
        <v>1.110233581352396</v>
      </c>
      <c r="J4" s="25">
        <f>B4/D4</f>
        <v>1</v>
      </c>
      <c r="K4" s="26" t="s">
        <v>14</v>
      </c>
    </row>
    <row r="5" spans="1:12">
      <c r="A5" s="20">
        <v>2017</v>
      </c>
      <c r="B5" s="21">
        <v>669.77917576000004</v>
      </c>
      <c r="C5" s="21">
        <v>589.7472434199999</v>
      </c>
      <c r="D5" s="21">
        <v>650.58686329286047</v>
      </c>
      <c r="E5" s="21">
        <v>572.84822090335103</v>
      </c>
      <c r="F5" s="22">
        <f t="shared" ref="F5:F13" si="0">D5-E5</f>
        <v>77.738642389509437</v>
      </c>
      <c r="G5" s="23">
        <f>(D5/D4)-1</f>
        <v>8.4323836553488185E-3</v>
      </c>
      <c r="H5" s="23">
        <f>(E5/E4)-1</f>
        <v>-1.4185000201171749E-2</v>
      </c>
      <c r="I5" s="24">
        <f t="shared" ref="I5:I13" si="1">B5/C5</f>
        <v>1.1357054793098946</v>
      </c>
      <c r="J5" s="25">
        <f t="shared" ref="J5:J13" si="2">B5/D5</f>
        <v>1.0295000000000003</v>
      </c>
      <c r="K5" s="26" t="s">
        <v>14</v>
      </c>
      <c r="L5" s="19"/>
    </row>
    <row r="6" spans="1:12">
      <c r="A6" s="20">
        <v>2018</v>
      </c>
      <c r="B6" s="21">
        <v>756.94838260000006</v>
      </c>
      <c r="C6" s="21">
        <v>708.86016420999999</v>
      </c>
      <c r="D6" s="21">
        <v>709.35093487020913</v>
      </c>
      <c r="E6" s="21">
        <v>664.28653754099901</v>
      </c>
      <c r="F6" s="22">
        <f t="shared" si="0"/>
        <v>45.064397329210124</v>
      </c>
      <c r="G6" s="23">
        <f t="shared" ref="G6:G13" si="3">(D6/D5)-1</f>
        <v>9.032471279841392E-2</v>
      </c>
      <c r="H6" s="23">
        <f t="shared" ref="H6:H13" si="4">(E6/E5)-1</f>
        <v>0.15962049509982701</v>
      </c>
      <c r="I6" s="24">
        <f t="shared" si="1"/>
        <v>1.0678387936266565</v>
      </c>
      <c r="J6" s="25">
        <f t="shared" si="2"/>
        <v>1.0670999999999999</v>
      </c>
      <c r="K6" s="26" t="s">
        <v>14</v>
      </c>
      <c r="L6" s="19"/>
    </row>
    <row r="7" spans="1:12">
      <c r="A7" s="20">
        <v>2019</v>
      </c>
      <c r="B7" s="21">
        <v>843.20415872000001</v>
      </c>
      <c r="C7" s="21">
        <v>810.32415989000003</v>
      </c>
      <c r="D7" s="21">
        <v>759.98572214511046</v>
      </c>
      <c r="E7" s="21">
        <v>730.35075249211354</v>
      </c>
      <c r="F7" s="22">
        <f t="shared" si="0"/>
        <v>29.634969652996915</v>
      </c>
      <c r="G7" s="23">
        <f t="shared" si="3"/>
        <v>7.1381857393570725E-2</v>
      </c>
      <c r="H7" s="23">
        <f t="shared" si="4"/>
        <v>9.9451383127024728E-2</v>
      </c>
      <c r="I7" s="24">
        <f t="shared" si="1"/>
        <v>1.0405763525975376</v>
      </c>
      <c r="J7" s="25">
        <f t="shared" si="2"/>
        <v>1.1094999999999999</v>
      </c>
      <c r="K7" s="26" t="s">
        <v>14</v>
      </c>
      <c r="L7" s="19"/>
    </row>
    <row r="8" spans="1:12">
      <c r="A8" s="20">
        <v>2020</v>
      </c>
      <c r="B8" s="21">
        <v>968.73913815999992</v>
      </c>
      <c r="C8" s="21">
        <v>839.87782626000001</v>
      </c>
      <c r="D8" s="21">
        <v>839.46199147313689</v>
      </c>
      <c r="E8" s="21">
        <v>727.79707648180249</v>
      </c>
      <c r="F8" s="22">
        <f t="shared" si="0"/>
        <v>111.6649149913344</v>
      </c>
      <c r="G8" s="23">
        <f t="shared" si="3"/>
        <v>0.1045760032224019</v>
      </c>
      <c r="H8" s="23">
        <f t="shared" si="4"/>
        <v>-3.4965063041249023E-3</v>
      </c>
      <c r="I8" s="24">
        <f t="shared" si="1"/>
        <v>1.153428639107932</v>
      </c>
      <c r="J8" s="25">
        <f t="shared" si="2"/>
        <v>1.1539999999999999</v>
      </c>
      <c r="K8" s="26" t="s">
        <v>14</v>
      </c>
      <c r="L8" s="19"/>
    </row>
    <row r="9" spans="1:12">
      <c r="A9" s="20">
        <v>2021</v>
      </c>
      <c r="B9" s="21">
        <v>1188.60121895</v>
      </c>
      <c r="C9" s="21">
        <v>1046.9643736999999</v>
      </c>
      <c r="D9" s="21">
        <v>940.27467680563234</v>
      </c>
      <c r="E9" s="21">
        <v>828.22907499406699</v>
      </c>
      <c r="F9" s="22">
        <f t="shared" si="0"/>
        <v>112.04560181156535</v>
      </c>
      <c r="G9" s="23">
        <f t="shared" si="3"/>
        <v>0.12009201888412302</v>
      </c>
      <c r="H9" s="23">
        <f t="shared" si="4"/>
        <v>0.13799450665253632</v>
      </c>
      <c r="I9" s="24">
        <f t="shared" si="1"/>
        <v>1.1352833475598141</v>
      </c>
      <c r="J9" s="25">
        <f t="shared" si="2"/>
        <v>1.2641000000000002</v>
      </c>
      <c r="K9" s="26" t="s">
        <v>14</v>
      </c>
      <c r="L9" s="19"/>
    </row>
    <row r="10" spans="1:12">
      <c r="A10" s="20">
        <v>2022</v>
      </c>
      <c r="B10" s="21">
        <v>1382.0828990299999</v>
      </c>
      <c r="C10" s="21">
        <v>1265.62418903</v>
      </c>
      <c r="D10" s="21">
        <v>985.51262052909283</v>
      </c>
      <c r="E10" s="21">
        <v>902.47018613091836</v>
      </c>
      <c r="F10" s="22">
        <f t="shared" si="0"/>
        <v>83.042434398174464</v>
      </c>
      <c r="G10" s="23">
        <f t="shared" si="3"/>
        <v>4.8111413440534267E-2</v>
      </c>
      <c r="H10" s="23">
        <f t="shared" si="4"/>
        <v>8.9638378292120624E-2</v>
      </c>
      <c r="I10" s="24">
        <f t="shared" si="1"/>
        <v>1.0920168174798051</v>
      </c>
      <c r="J10" s="25">
        <f t="shared" si="2"/>
        <v>1.4024000000000001</v>
      </c>
      <c r="K10" s="26" t="s">
        <v>14</v>
      </c>
      <c r="L10" s="19"/>
    </row>
    <row r="11" spans="1:12">
      <c r="A11" s="20">
        <v>2023</v>
      </c>
      <c r="B11" s="21">
        <v>1633.88020198</v>
      </c>
      <c r="C11" s="21">
        <v>1436.32734235</v>
      </c>
      <c r="D11" s="21">
        <v>1095.020576355472</v>
      </c>
      <c r="E11" s="21">
        <v>962.62136743515839</v>
      </c>
      <c r="F11" s="22">
        <f t="shared" si="0"/>
        <v>132.39920892031364</v>
      </c>
      <c r="G11" s="23">
        <f t="shared" si="3"/>
        <v>0.11111776099588422</v>
      </c>
      <c r="H11" s="23">
        <f t="shared" si="4"/>
        <v>6.6651710193464497E-2</v>
      </c>
      <c r="I11" s="24">
        <f t="shared" si="1"/>
        <v>1.137540276373755</v>
      </c>
      <c r="J11" s="25">
        <f t="shared" si="2"/>
        <v>1.4921000000000002</v>
      </c>
      <c r="K11" s="26" t="s">
        <v>14</v>
      </c>
      <c r="L11" s="19"/>
    </row>
    <row r="12" spans="1:12">
      <c r="A12" s="20">
        <v>2024</v>
      </c>
      <c r="B12" s="21">
        <v>1776.6420934099999</v>
      </c>
      <c r="C12" s="21">
        <v>1613.0473557600001</v>
      </c>
      <c r="D12" s="21">
        <v>1128.0983512667469</v>
      </c>
      <c r="E12" s="21">
        <v>1024.222081249603</v>
      </c>
      <c r="F12" s="22">
        <f t="shared" si="0"/>
        <v>103.87627001714395</v>
      </c>
      <c r="G12" s="23">
        <f t="shared" si="3"/>
        <v>3.0207445983678971E-2</v>
      </c>
      <c r="H12" s="23">
        <f t="shared" si="4"/>
        <v>6.3992672403040185E-2</v>
      </c>
      <c r="I12" s="24">
        <f t="shared" si="1"/>
        <v>1.1014196744229625</v>
      </c>
      <c r="J12" s="25">
        <f t="shared" si="2"/>
        <v>1.5749000000000002</v>
      </c>
      <c r="K12" s="26" t="s">
        <v>14</v>
      </c>
      <c r="L12" s="19"/>
    </row>
    <row r="13" spans="1:12">
      <c r="A13" s="20">
        <v>2025</v>
      </c>
      <c r="B13" s="21">
        <v>1953.34829629</v>
      </c>
      <c r="C13" s="21">
        <v>1863.53198118</v>
      </c>
      <c r="D13" s="21">
        <v>1200.5828495943449</v>
      </c>
      <c r="E13" s="21">
        <v>1145.379214001229</v>
      </c>
      <c r="F13" s="22">
        <f t="shared" si="0"/>
        <v>55.203635593115905</v>
      </c>
      <c r="G13" s="23">
        <f t="shared" si="3"/>
        <v>6.4253704693571168E-2</v>
      </c>
      <c r="H13" s="23">
        <f t="shared" si="4"/>
        <v>0.11829185776175444</v>
      </c>
      <c r="I13" s="24">
        <f t="shared" si="1"/>
        <v>1.0481968198115537</v>
      </c>
      <c r="J13" s="25">
        <f t="shared" si="2"/>
        <v>1.6270000000000007</v>
      </c>
      <c r="K13" s="26" t="s">
        <v>14</v>
      </c>
      <c r="L13" s="19"/>
    </row>
    <row r="14" spans="1:12">
      <c r="A14" s="12" t="s">
        <v>15</v>
      </c>
      <c r="B14" s="29"/>
      <c r="C14" s="29"/>
      <c r="D14" s="2">
        <v>895.40213248126065</v>
      </c>
      <c r="E14" s="2">
        <v>813.92955080392437</v>
      </c>
      <c r="F14" s="2">
        <v>81.472581677336464</v>
      </c>
      <c r="G14" s="3"/>
      <c r="H14" s="3"/>
      <c r="I14" s="3"/>
      <c r="J14" s="3"/>
      <c r="K14" s="3"/>
    </row>
    <row r="16" spans="1:12">
      <c r="A16" s="30" t="s">
        <v>16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</sheetData>
  <mergeCells count="4">
    <mergeCell ref="A2:K2"/>
    <mergeCell ref="A16:K16"/>
    <mergeCell ref="A1:K1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workbookViewId="0">
      <selection activeCell="F18" sqref="F18"/>
    </sheetView>
  </sheetViews>
  <sheetFormatPr defaultRowHeight="15"/>
  <cols>
    <col min="1" max="1" width="8" customWidth="1"/>
    <col min="2" max="2" width="2" customWidth="1"/>
    <col min="3" max="4" width="14" customWidth="1"/>
    <col min="5" max="5" width="12" customWidth="1"/>
    <col min="6" max="7" width="14" customWidth="1"/>
    <col min="8" max="8" width="12" customWidth="1"/>
    <col min="9" max="10" width="14" customWidth="1"/>
    <col min="11" max="11" width="12" customWidth="1"/>
    <col min="12" max="14" width="10" customWidth="1"/>
  </cols>
  <sheetData>
    <row r="1" spans="1:14" ht="24" customHeight="1">
      <c r="A1" s="17" t="s">
        <v>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20.100000000000001" customHeight="1">
      <c r="A3" s="16" t="s">
        <v>19</v>
      </c>
      <c r="B3" s="29"/>
      <c r="C3" s="13" t="s">
        <v>20</v>
      </c>
      <c r="D3" s="29"/>
      <c r="E3" s="29"/>
      <c r="F3" s="15" t="s">
        <v>21</v>
      </c>
      <c r="G3" s="29"/>
      <c r="H3" s="29"/>
      <c r="I3" s="14" t="s">
        <v>22</v>
      </c>
      <c r="J3" s="29"/>
      <c r="K3" s="29"/>
      <c r="L3" s="16" t="s">
        <v>23</v>
      </c>
      <c r="M3" s="29"/>
      <c r="N3" s="29"/>
    </row>
    <row r="4" spans="1:14" ht="18" customHeight="1">
      <c r="A4" s="5" t="s">
        <v>2</v>
      </c>
      <c r="B4" s="5"/>
      <c r="C4" s="6" t="s">
        <v>24</v>
      </c>
      <c r="D4" s="6" t="s">
        <v>25</v>
      </c>
      <c r="E4" s="6" t="s">
        <v>26</v>
      </c>
      <c r="F4" s="7" t="s">
        <v>24</v>
      </c>
      <c r="G4" s="7" t="s">
        <v>25</v>
      </c>
      <c r="H4" s="7" t="s">
        <v>26</v>
      </c>
      <c r="I4" s="8" t="s">
        <v>24</v>
      </c>
      <c r="J4" s="8" t="s">
        <v>25</v>
      </c>
      <c r="K4" s="8" t="s">
        <v>26</v>
      </c>
      <c r="L4" s="5" t="s">
        <v>24</v>
      </c>
      <c r="M4" s="5" t="s">
        <v>25</v>
      </c>
      <c r="N4" s="5" t="s">
        <v>26</v>
      </c>
    </row>
    <row r="5" spans="1:14">
      <c r="A5" s="20">
        <v>2016</v>
      </c>
      <c r="B5" s="28"/>
      <c r="C5" s="21">
        <v>628.62433708000003</v>
      </c>
      <c r="D5" s="21">
        <v>569.80938945000003</v>
      </c>
      <c r="E5" s="22">
        <v>58.814947630000013</v>
      </c>
      <c r="F5" s="21">
        <v>645.14673848000007</v>
      </c>
      <c r="G5" s="21">
        <v>581.09099680999998</v>
      </c>
      <c r="H5" s="22">
        <v>64.055741670000074</v>
      </c>
      <c r="I5" s="21">
        <f>F5-C5</f>
        <v>16.522401400000035</v>
      </c>
      <c r="J5" s="21">
        <f>G5-D5</f>
        <v>11.281607359999953</v>
      </c>
      <c r="K5" s="21">
        <f>H5-E5</f>
        <v>5.2407940400000612</v>
      </c>
      <c r="L5" s="27">
        <v>1.026283426245868</v>
      </c>
      <c r="M5" s="27">
        <v>1.019798914459604</v>
      </c>
      <c r="N5" s="27">
        <v>1.0891064984529011</v>
      </c>
    </row>
    <row r="6" spans="1:14">
      <c r="A6" s="20">
        <v>2017</v>
      </c>
      <c r="B6" s="28"/>
      <c r="C6" s="21">
        <v>609.31725084021366</v>
      </c>
      <c r="D6" s="21">
        <v>548.07813152986887</v>
      </c>
      <c r="E6" s="22">
        <v>61.239119310344812</v>
      </c>
      <c r="F6" s="21">
        <v>650.58686329286047</v>
      </c>
      <c r="G6" s="21">
        <v>572.84822090335103</v>
      </c>
      <c r="H6" s="22">
        <v>77.738642389509437</v>
      </c>
      <c r="I6" s="21">
        <f t="shared" ref="I6:I14" si="0">F6-C6</f>
        <v>41.269612452646811</v>
      </c>
      <c r="J6" s="21">
        <f t="shared" ref="J6:J14" si="1">G6-D6</f>
        <v>24.770089373482165</v>
      </c>
      <c r="K6" s="21">
        <f t="shared" ref="K6:K14" si="2">H6-E6</f>
        <v>16.499523079164625</v>
      </c>
      <c r="L6" s="27">
        <v>1.067730910942926</v>
      </c>
      <c r="M6" s="27">
        <v>1.0451944493832299</v>
      </c>
      <c r="N6" s="27">
        <v>1.2694278308534961</v>
      </c>
    </row>
    <row r="7" spans="1:14">
      <c r="A7" s="20">
        <v>2018</v>
      </c>
      <c r="B7" s="28"/>
      <c r="C7" s="21">
        <v>645.2832706775373</v>
      </c>
      <c r="D7" s="21">
        <v>594.70395779214709</v>
      </c>
      <c r="E7" s="22">
        <v>50.57931288539028</v>
      </c>
      <c r="F7" s="21">
        <v>709.35093487020913</v>
      </c>
      <c r="G7" s="21">
        <v>664.28653754099901</v>
      </c>
      <c r="H7" s="22">
        <v>45.064397329210053</v>
      </c>
      <c r="I7" s="21">
        <f t="shared" si="0"/>
        <v>64.067664192671828</v>
      </c>
      <c r="J7" s="21">
        <f t="shared" si="1"/>
        <v>69.582579748851913</v>
      </c>
      <c r="K7" s="21">
        <f t="shared" si="2"/>
        <v>-5.5149155561802274</v>
      </c>
      <c r="L7" s="27">
        <v>1.0992861075189531</v>
      </c>
      <c r="M7" s="27">
        <v>1.1170037273792139</v>
      </c>
      <c r="N7" s="27">
        <v>0.89096499652581862</v>
      </c>
    </row>
    <row r="8" spans="1:14">
      <c r="A8" s="20">
        <v>2019</v>
      </c>
      <c r="B8" s="28"/>
      <c r="C8" s="21">
        <v>650.08236611086079</v>
      </c>
      <c r="D8" s="21">
        <v>610.1123919693556</v>
      </c>
      <c r="E8" s="22">
        <v>39.96997414150524</v>
      </c>
      <c r="F8" s="21">
        <v>759.98572214511046</v>
      </c>
      <c r="G8" s="21">
        <v>730.35075249211354</v>
      </c>
      <c r="H8" s="22">
        <v>29.634969652996901</v>
      </c>
      <c r="I8" s="21">
        <f t="shared" si="0"/>
        <v>109.90335603424967</v>
      </c>
      <c r="J8" s="21">
        <f t="shared" si="1"/>
        <v>120.23836052275794</v>
      </c>
      <c r="K8" s="21">
        <f t="shared" si="2"/>
        <v>-10.335004488508339</v>
      </c>
      <c r="L8" s="27">
        <v>1.1690606633306331</v>
      </c>
      <c r="M8" s="27">
        <v>1.197075755394257</v>
      </c>
      <c r="N8" s="27">
        <v>0.74143079372732534</v>
      </c>
    </row>
    <row r="9" spans="1:14">
      <c r="A9" s="20">
        <v>2020</v>
      </c>
      <c r="B9" s="28"/>
      <c r="C9" s="21">
        <v>676.70197025129983</v>
      </c>
      <c r="D9" s="21">
        <v>580.93410778162922</v>
      </c>
      <c r="E9" s="22">
        <v>95.767862469670632</v>
      </c>
      <c r="F9" s="21">
        <v>839.46199147313689</v>
      </c>
      <c r="G9" s="21">
        <v>727.79707648180249</v>
      </c>
      <c r="H9" s="22">
        <v>111.6649149913344</v>
      </c>
      <c r="I9" s="21">
        <f t="shared" si="0"/>
        <v>162.76002122183706</v>
      </c>
      <c r="J9" s="21">
        <f t="shared" si="1"/>
        <v>146.86296870017327</v>
      </c>
      <c r="K9" s="21">
        <f t="shared" si="2"/>
        <v>15.897052521663767</v>
      </c>
      <c r="L9" s="27">
        <v>1.2405195024944209</v>
      </c>
      <c r="M9" s="27">
        <v>1.2528048650147059</v>
      </c>
      <c r="N9" s="27">
        <v>1.1659956911609921</v>
      </c>
    </row>
    <row r="10" spans="1:14">
      <c r="A10" s="20">
        <v>2021</v>
      </c>
      <c r="B10" s="28"/>
      <c r="C10" s="21">
        <v>662.49292309152759</v>
      </c>
      <c r="D10" s="21">
        <v>587.79094823194362</v>
      </c>
      <c r="E10" s="22">
        <v>74.70197485958397</v>
      </c>
      <c r="F10" s="21">
        <v>940.27467680563234</v>
      </c>
      <c r="G10" s="21">
        <v>828.22907499406699</v>
      </c>
      <c r="H10" s="22">
        <v>112.0456018115655</v>
      </c>
      <c r="I10" s="21">
        <f t="shared" si="0"/>
        <v>277.78175371410475</v>
      </c>
      <c r="J10" s="21">
        <f t="shared" si="1"/>
        <v>240.43812676212337</v>
      </c>
      <c r="K10" s="21">
        <f t="shared" si="2"/>
        <v>37.343626951981534</v>
      </c>
      <c r="L10" s="27">
        <v>1.4192976921441429</v>
      </c>
      <c r="M10" s="27">
        <v>1.4090538098372449</v>
      </c>
      <c r="N10" s="27">
        <v>1.499901468765394</v>
      </c>
    </row>
    <row r="11" spans="1:14">
      <c r="A11" s="20">
        <v>2022</v>
      </c>
      <c r="B11" s="28"/>
      <c r="C11" s="21">
        <v>735.8768089275527</v>
      </c>
      <c r="D11" s="21">
        <v>651.11141905305192</v>
      </c>
      <c r="E11" s="22">
        <v>84.765389874500755</v>
      </c>
      <c r="F11" s="21">
        <v>985.51262052909283</v>
      </c>
      <c r="G11" s="21">
        <v>902.47018613091836</v>
      </c>
      <c r="H11" s="22">
        <v>83.042434398174521</v>
      </c>
      <c r="I11" s="21">
        <f t="shared" si="0"/>
        <v>249.63581160154013</v>
      </c>
      <c r="J11" s="21">
        <f t="shared" si="1"/>
        <v>251.35876707786645</v>
      </c>
      <c r="K11" s="21">
        <f t="shared" si="2"/>
        <v>-1.7229554763262342</v>
      </c>
      <c r="L11" s="27">
        <v>1.339235872870288</v>
      </c>
      <c r="M11" s="27">
        <v>1.3860457054238611</v>
      </c>
      <c r="N11" s="27">
        <v>0.97967383293019528</v>
      </c>
    </row>
    <row r="12" spans="1:14">
      <c r="A12" s="20">
        <v>2023</v>
      </c>
      <c r="B12" s="28"/>
      <c r="C12" s="21">
        <v>729.65099731251257</v>
      </c>
      <c r="D12" s="21">
        <v>690.79034708799679</v>
      </c>
      <c r="E12" s="22">
        <v>38.860650224515673</v>
      </c>
      <c r="F12" s="21">
        <v>1095.020576355472</v>
      </c>
      <c r="G12" s="21">
        <v>962.62136743515839</v>
      </c>
      <c r="H12" s="22">
        <v>132.39920892031361</v>
      </c>
      <c r="I12" s="21">
        <f t="shared" si="0"/>
        <v>365.36957904295946</v>
      </c>
      <c r="J12" s="21">
        <f t="shared" si="1"/>
        <v>271.8310203471616</v>
      </c>
      <c r="K12" s="21">
        <f t="shared" si="2"/>
        <v>93.538558695797946</v>
      </c>
      <c r="L12" s="27">
        <v>1.5007456720935179</v>
      </c>
      <c r="M12" s="27">
        <v>1.3935072652550169</v>
      </c>
      <c r="N12" s="27">
        <v>3.4070250537596021</v>
      </c>
    </row>
    <row r="13" spans="1:14">
      <c r="A13" s="20">
        <v>2024</v>
      </c>
      <c r="B13" s="28"/>
      <c r="C13" s="21">
        <v>781.92408067813835</v>
      </c>
      <c r="D13" s="21">
        <v>726.42267545240963</v>
      </c>
      <c r="E13" s="22">
        <v>55.501405225728753</v>
      </c>
      <c r="F13" s="21">
        <v>1128.0983512667469</v>
      </c>
      <c r="G13" s="21">
        <v>1024.222081249603</v>
      </c>
      <c r="H13" s="22">
        <v>103.87627001714409</v>
      </c>
      <c r="I13" s="21">
        <f t="shared" si="0"/>
        <v>346.17427058860858</v>
      </c>
      <c r="J13" s="21">
        <f t="shared" si="1"/>
        <v>297.79940579719334</v>
      </c>
      <c r="K13" s="21">
        <f t="shared" si="2"/>
        <v>48.374864791415341</v>
      </c>
      <c r="L13" s="27">
        <v>1.44272107630754</v>
      </c>
      <c r="M13" s="27">
        <v>1.409953345153669</v>
      </c>
      <c r="N13" s="27">
        <v>1.871597117130112</v>
      </c>
    </row>
    <row r="14" spans="1:14">
      <c r="A14" s="20">
        <v>2025</v>
      </c>
      <c r="B14" s="28"/>
      <c r="C14" s="21">
        <v>766.28965527350965</v>
      </c>
      <c r="D14" s="21">
        <v>686.04253420405666</v>
      </c>
      <c r="E14" s="22">
        <v>80.247121069453001</v>
      </c>
      <c r="F14" s="21">
        <v>1200.5828495943449</v>
      </c>
      <c r="G14" s="21">
        <v>1145.379214001229</v>
      </c>
      <c r="H14" s="22">
        <v>55.203635593116047</v>
      </c>
      <c r="I14" s="21">
        <f t="shared" si="0"/>
        <v>434.29319432083525</v>
      </c>
      <c r="J14" s="21">
        <f t="shared" si="1"/>
        <v>459.33667979717234</v>
      </c>
      <c r="K14" s="21">
        <f t="shared" si="2"/>
        <v>-25.043485476336954</v>
      </c>
      <c r="L14" s="27">
        <v>1.566748084529243</v>
      </c>
      <c r="M14" s="27">
        <v>1.6695454828177569</v>
      </c>
      <c r="N14" s="27">
        <v>0.68792044944936914</v>
      </c>
    </row>
    <row r="17" spans="1:14">
      <c r="A17" s="30" t="s">
        <v>27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</sheetData>
  <mergeCells count="7">
    <mergeCell ref="A1:N1"/>
    <mergeCell ref="A17:N17"/>
    <mergeCell ref="C3:E3"/>
    <mergeCell ref="I3:K3"/>
    <mergeCell ref="F3:H3"/>
    <mergeCell ref="L3:N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tabSelected="1" topLeftCell="A29" workbookViewId="0">
      <selection activeCell="H32" sqref="H32"/>
    </sheetView>
  </sheetViews>
  <sheetFormatPr defaultRowHeight="15"/>
  <cols>
    <col min="1" max="1" width="8" customWidth="1"/>
    <col min="2" max="3" width="18" customWidth="1"/>
    <col min="4" max="4" width="16" customWidth="1"/>
    <col min="5" max="6" width="18" customWidth="1"/>
    <col min="7" max="7" width="16" customWidth="1"/>
  </cols>
  <sheetData>
    <row r="1" spans="1:8" ht="21.95" customHeight="1">
      <c r="A1" s="18" t="s">
        <v>28</v>
      </c>
      <c r="B1" s="29"/>
      <c r="C1" s="29"/>
      <c r="D1" s="29"/>
      <c r="E1" s="29"/>
      <c r="F1" s="29"/>
      <c r="G1" s="29"/>
      <c r="H1" s="29"/>
    </row>
    <row r="3" spans="1:8" ht="27.95" customHeight="1">
      <c r="A3" s="9" t="s">
        <v>2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</row>
    <row r="4" spans="1:8">
      <c r="A4" s="20">
        <v>2016</v>
      </c>
      <c r="B4" s="21">
        <v>628.62</v>
      </c>
      <c r="C4" s="21">
        <v>569.80999999999995</v>
      </c>
      <c r="D4" s="21">
        <v>58.81</v>
      </c>
      <c r="E4" s="21">
        <v>645.15</v>
      </c>
      <c r="F4" s="21">
        <v>581.09</v>
      </c>
      <c r="G4" s="21">
        <v>64.06</v>
      </c>
    </row>
    <row r="5" spans="1:8">
      <c r="A5" s="20">
        <v>2017</v>
      </c>
      <c r="B5" s="21">
        <v>609.32000000000005</v>
      </c>
      <c r="C5" s="21">
        <v>548.08000000000004</v>
      </c>
      <c r="D5" s="21">
        <v>61.24</v>
      </c>
      <c r="E5" s="21">
        <v>650.59</v>
      </c>
      <c r="F5" s="21">
        <v>572.85</v>
      </c>
      <c r="G5" s="21">
        <v>77.739999999999995</v>
      </c>
    </row>
    <row r="6" spans="1:8">
      <c r="A6" s="20">
        <v>2018</v>
      </c>
      <c r="B6" s="21">
        <v>645.28</v>
      </c>
      <c r="C6" s="21">
        <v>594.70000000000005</v>
      </c>
      <c r="D6" s="21">
        <v>50.58</v>
      </c>
      <c r="E6" s="21">
        <v>709.35</v>
      </c>
      <c r="F6" s="21">
        <v>664.29</v>
      </c>
      <c r="G6" s="21">
        <v>45.06</v>
      </c>
    </row>
    <row r="7" spans="1:8">
      <c r="A7" s="20">
        <v>2019</v>
      </c>
      <c r="B7" s="21">
        <v>650.08000000000004</v>
      </c>
      <c r="C7" s="21">
        <v>610.11</v>
      </c>
      <c r="D7" s="21">
        <v>39.97</v>
      </c>
      <c r="E7" s="21">
        <v>759.99</v>
      </c>
      <c r="F7" s="21">
        <v>730.35</v>
      </c>
      <c r="G7" s="21">
        <v>29.63</v>
      </c>
    </row>
    <row r="8" spans="1:8">
      <c r="A8" s="20">
        <v>2020</v>
      </c>
      <c r="B8" s="21">
        <v>676.7</v>
      </c>
      <c r="C8" s="21">
        <v>580.92999999999995</v>
      </c>
      <c r="D8" s="21">
        <v>95.77</v>
      </c>
      <c r="E8" s="21">
        <v>839.46</v>
      </c>
      <c r="F8" s="21">
        <v>727.8</v>
      </c>
      <c r="G8" s="21">
        <v>111.66</v>
      </c>
    </row>
    <row r="9" spans="1:8">
      <c r="A9" s="20">
        <v>2021</v>
      </c>
      <c r="B9" s="21">
        <v>662.49</v>
      </c>
      <c r="C9" s="21">
        <v>587.79</v>
      </c>
      <c r="D9" s="21">
        <v>74.7</v>
      </c>
      <c r="E9" s="21">
        <v>940.27</v>
      </c>
      <c r="F9" s="21">
        <v>828.23</v>
      </c>
      <c r="G9" s="21">
        <v>112.05</v>
      </c>
    </row>
    <row r="10" spans="1:8">
      <c r="A10" s="20">
        <v>2022</v>
      </c>
      <c r="B10" s="21">
        <v>735.88</v>
      </c>
      <c r="C10" s="21">
        <v>651.11</v>
      </c>
      <c r="D10" s="21">
        <v>84.77</v>
      </c>
      <c r="E10" s="21">
        <v>985.51</v>
      </c>
      <c r="F10" s="21">
        <v>902.47</v>
      </c>
      <c r="G10" s="21">
        <v>83.04</v>
      </c>
    </row>
    <row r="11" spans="1:8">
      <c r="A11" s="20">
        <v>2023</v>
      </c>
      <c r="B11" s="21">
        <v>729.65</v>
      </c>
      <c r="C11" s="21">
        <v>690.79</v>
      </c>
      <c r="D11" s="21">
        <v>38.86</v>
      </c>
      <c r="E11" s="21">
        <v>1095.02</v>
      </c>
      <c r="F11" s="21">
        <v>962.62</v>
      </c>
      <c r="G11" s="21">
        <v>132.4</v>
      </c>
    </row>
    <row r="12" spans="1:8">
      <c r="A12" s="20">
        <v>2024</v>
      </c>
      <c r="B12" s="21">
        <v>781.92</v>
      </c>
      <c r="C12" s="21">
        <v>726.42</v>
      </c>
      <c r="D12" s="21">
        <v>55.5</v>
      </c>
      <c r="E12" s="21">
        <v>1128.0999999999999</v>
      </c>
      <c r="F12" s="21">
        <v>1024.22</v>
      </c>
      <c r="G12" s="21">
        <v>103.88</v>
      </c>
    </row>
    <row r="13" spans="1:8">
      <c r="A13" s="20">
        <v>2025</v>
      </c>
      <c r="B13" s="21">
        <v>766.29</v>
      </c>
      <c r="C13" s="21">
        <v>686.04</v>
      </c>
      <c r="D13" s="21">
        <v>80.25</v>
      </c>
      <c r="E13" s="21">
        <v>1200.58</v>
      </c>
      <c r="F13" s="21">
        <v>1145.3800000000001</v>
      </c>
      <c r="G13" s="21">
        <v>55.2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2026-05-07T01:23:04Z</dcterms:created>
  <dcterms:modified xsi:type="dcterms:W3CDTF">2026-05-07T01:40:17Z</dcterms:modified>
  <cp:category/>
  <cp:contentStatus/>
</cp:coreProperties>
</file>